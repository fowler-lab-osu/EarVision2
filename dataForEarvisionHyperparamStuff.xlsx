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rnEnthusiast\Projects\EarVision\"/>
    </mc:Choice>
  </mc:AlternateContent>
  <xr:revisionPtr revIDLastSave="0" documentId="13_ncr:1_{C0FB6948-9149-41E6-97BA-61D520381488}" xr6:coauthVersionLast="47" xr6:coauthVersionMax="47" xr10:uidLastSave="{00000000-0000-0000-0000-000000000000}"/>
  <bookViews>
    <workbookView xWindow="-110" yWindow="-110" windowWidth="38620" windowHeight="21100" xr2:uid="{8B182979-982F-49E6-ADDC-D23530AF4F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6" i="1" l="1"/>
  <c r="E27" i="1"/>
  <c r="E28" i="1"/>
  <c r="E29" i="1"/>
  <c r="E30" i="1"/>
  <c r="E31" i="1"/>
  <c r="E32" i="1"/>
  <c r="E33" i="1"/>
  <c r="E34" i="1"/>
  <c r="E35" i="1"/>
  <c r="E25" i="1"/>
  <c r="E14" i="1"/>
  <c r="E15" i="1"/>
  <c r="E16" i="1"/>
  <c r="E17" i="1"/>
  <c r="E18" i="1"/>
  <c r="E19" i="1"/>
  <c r="E20" i="1"/>
  <c r="E21" i="1"/>
  <c r="E22" i="1"/>
  <c r="E23" i="1"/>
  <c r="E24" i="1"/>
  <c r="E13" i="1"/>
  <c r="E7" i="1"/>
  <c r="E8" i="1"/>
  <c r="E9" i="1"/>
  <c r="E10" i="1"/>
  <c r="E11" i="1"/>
  <c r="E12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<sst xmlns="http://schemas.openxmlformats.org/spreadsheetml/2006/main" count="301" uniqueCount="47">
  <si>
    <t>ModelIdentifier</t>
  </si>
  <si>
    <t>trainable_backbone_layers</t>
  </si>
  <si>
    <t>box_nms_threshold</t>
  </si>
  <si>
    <t>box_score_threshold</t>
  </si>
  <si>
    <t>FullTrainingDataSet</t>
  </si>
  <si>
    <t>Epoch</t>
  </si>
  <si>
    <t>OutTransmissionABSDiff</t>
  </si>
  <si>
    <t>NumImagesInTraining</t>
  </si>
  <si>
    <t>null</t>
  </si>
  <si>
    <t>yes</t>
  </si>
  <si>
    <t>Aug_08.18.22_07.13PM</t>
  </si>
  <si>
    <t>03.06.23_12.55PM</t>
  </si>
  <si>
    <t>Bujanovac_06.23.23_09.05AM</t>
  </si>
  <si>
    <t>InSampleLoss</t>
  </si>
  <si>
    <t>OutSampleLoss</t>
  </si>
  <si>
    <t>OutFluorKernelDiff</t>
  </si>
  <si>
    <t>OutFluorABSDiff</t>
  </si>
  <si>
    <t>OutNonFluorKernelDiff</t>
  </si>
  <si>
    <t>OutNonFluorKernelABSDiff</t>
  </si>
  <si>
    <t>OutTotalKernelDiff</t>
  </si>
  <si>
    <t>OutTotalKernelABSDiff</t>
  </si>
  <si>
    <t>OutTransmissionDiff</t>
  </si>
  <si>
    <t>InFluorKernelDiff</t>
  </si>
  <si>
    <t>InFluorABSDiff</t>
  </si>
  <si>
    <t>InNonFluorKernelDiff</t>
  </si>
  <si>
    <t>InNonFluorKernelABSDiff</t>
  </si>
  <si>
    <t>InTotalKernelDiff</t>
  </si>
  <si>
    <t>InTotalKernelABSDiff</t>
  </si>
  <si>
    <t>InTransmissionDiff</t>
  </si>
  <si>
    <t>InTransmissionABSDiff</t>
  </si>
  <si>
    <t>f1Fluor</t>
  </si>
  <si>
    <t>f1NonFluor</t>
  </si>
  <si>
    <t>LakeJabbul_06.23.23_01.33PM</t>
  </si>
  <si>
    <t>Atari_06.29.23_05.22PM</t>
  </si>
  <si>
    <t>Sunset_06.29.23_09.50PM</t>
  </si>
  <si>
    <t>Eagle_07.17.23_03.30PM</t>
  </si>
  <si>
    <t>tMAPgeneral</t>
  </si>
  <si>
    <t>tMAP50</t>
  </si>
  <si>
    <t>tMAP75</t>
  </si>
  <si>
    <t>vMAPgeneral</t>
  </si>
  <si>
    <t>vMAP50</t>
  </si>
  <si>
    <t>vMAP75</t>
  </si>
  <si>
    <t>Uluberia_07.17.23_10.06PM</t>
  </si>
  <si>
    <t>Oxford_07.18.23_04.44AM</t>
  </si>
  <si>
    <t>Chamot_07.18.23_06.07PM</t>
  </si>
  <si>
    <t>Jose_07.18.23_11.24AM</t>
  </si>
  <si>
    <t>Miklos_07.19.23_12.58AM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</si>
</sst>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Fill="1" applyAlignment="1">
      <alignment wrapText="1"/>
    </xf>
    <xf numFmtId="0" fontId="1" fillId="0" borderId="0" xfId="0" applyFont="1" applyFill="1"/>
    <xf numFmtId="0" fontId="2" fillId="0" borderId="0" xfId="0" applyFont="1" applyFill="1"/>
    <xf numFmtId="0" fontId="0" fillId="0" borderId="0" xfId="0" applyFill="1"/>
    <xf numFmtId="0" fontId="2" fillId="0" borderId="0" xfId="0" applyNumberFormat="1" applyFont="1" applyFill="1"/>
    <xf numFmtId="0" fontId="3" fillId="0" borderId="0" xfId="0" applyFont="1" applyFill="1"/>
    <xf numFmtId="0" fontId="3" fillId="0" borderId="0" xfId="0" applyNumberFormat="1" applyFont="1" applyFill="1"/>
    <xf numFmtId="0" fontId="4" fillId="0" borderId="0" xfId="0" quotePrefix="1" applyNumberFormat="1" applyFont="1" applyFill="1"/>
    <xf numFmtId="0" fontId="4" fillId="0" borderId="0" xfId="0" quotePrefix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12BE7-53E3-405C-93E6-77928C9A94B6}">
  <dimension ref="A1:AG131"/>
  <sheetViews>
    <sheetView tabSelected="1" topLeftCell="A97" workbookViewId="0">
      <selection activeCell="A2" sqref="A2"/>
    </sheetView>
  </sheetViews>
  <sheetFormatPr defaultRowHeight="18.5" x14ac:dyDescent="0.45"/>
  <cols>
    <col min="1" max="1" width="33.54296875" style="3" bestFit="1" customWidth="1"/>
    <col min="2" max="2" width="34.6328125" style="3" customWidth="1"/>
    <col min="3" max="3" width="22.36328125" style="3" bestFit="1" customWidth="1"/>
    <col min="4" max="4" width="23.54296875" style="3" bestFit="1" customWidth="1"/>
    <col min="5" max="5" width="7.453125" style="3" customWidth="1"/>
    <col min="6" max="6" width="6.7265625" style="3" customWidth="1"/>
    <col min="7" max="7" width="8.26953125" style="3" customWidth="1"/>
    <col min="8" max="8" width="4.1796875" style="3" customWidth="1"/>
    <col min="9" max="9" width="3.6328125" style="3" customWidth="1"/>
    <col min="10" max="10" width="3.26953125" style="3" customWidth="1"/>
    <col min="11" max="12" width="3.453125" style="3" customWidth="1"/>
    <col min="13" max="13" width="3.26953125" style="3" customWidth="1"/>
    <col min="14" max="14" width="3" style="3" customWidth="1"/>
    <col min="15" max="15" width="3.6328125" style="3" customWidth="1"/>
    <col min="16" max="16" width="23.08984375" style="3" bestFit="1" customWidth="1"/>
    <col min="17" max="17" width="27.36328125" style="3" bestFit="1" customWidth="1"/>
    <col min="18" max="18" width="3.81640625" style="3" customWidth="1"/>
    <col min="19" max="19" width="2.54296875" style="3" customWidth="1"/>
    <col min="20" max="20" width="2.81640625" style="3" customWidth="1"/>
    <col min="21" max="21" width="2.36328125" style="3" customWidth="1"/>
    <col min="22" max="22" width="2.90625" style="3" customWidth="1"/>
    <col min="23" max="23" width="2.36328125" style="3" customWidth="1"/>
    <col min="24" max="24" width="2.6328125" style="3" customWidth="1"/>
    <col min="25" max="25" width="3.54296875" style="3" customWidth="1"/>
    <col min="26" max="27" width="15.08984375" style="3" bestFit="1" customWidth="1"/>
    <col min="28" max="28" width="4.453125" style="3" customWidth="1"/>
    <col min="29" max="29" width="15.08984375" style="3" bestFit="1" customWidth="1"/>
    <col min="30" max="30" width="2.54296875" style="3" customWidth="1"/>
    <col min="31" max="31" width="3.1796875" style="3" customWidth="1"/>
    <col min="32" max="32" width="15.08984375" style="3" bestFit="1" customWidth="1"/>
    <col min="33" max="33" width="3.54296875" style="3" customWidth="1"/>
    <col min="34" max="16384" width="8.7265625" style="3"/>
  </cols>
  <sheetData>
    <row r="1" spans="1:33" s="1" customForma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7</v>
      </c>
      <c r="F1" s="1" t="s">
        <v>4</v>
      </c>
      <c r="G1" s="2" t="s">
        <v>5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18</v>
      </c>
      <c r="N1" s="2" t="s">
        <v>19</v>
      </c>
      <c r="O1" s="2" t="s">
        <v>20</v>
      </c>
      <c r="P1" s="2" t="s">
        <v>21</v>
      </c>
      <c r="Q1" s="2" t="s">
        <v>6</v>
      </c>
      <c r="R1" s="2" t="s">
        <v>22</v>
      </c>
      <c r="S1" s="2" t="s">
        <v>23</v>
      </c>
      <c r="T1" s="2" t="s">
        <v>24</v>
      </c>
      <c r="U1" s="2" t="s">
        <v>25</v>
      </c>
      <c r="V1" s="2" t="s">
        <v>26</v>
      </c>
      <c r="W1" s="2" t="s">
        <v>27</v>
      </c>
      <c r="X1" s="2" t="s">
        <v>28</v>
      </c>
      <c r="Y1" s="2" t="s">
        <v>29</v>
      </c>
      <c r="Z1" s="2" t="s">
        <v>30</v>
      </c>
      <c r="AA1" s="2" t="s">
        <v>31</v>
      </c>
      <c r="AB1" s="2" t="s">
        <v>36</v>
      </c>
      <c r="AC1" s="2" t="s">
        <v>37</v>
      </c>
      <c r="AD1" s="2" t="s">
        <v>38</v>
      </c>
      <c r="AE1" s="2" t="s">
        <v>39</v>
      </c>
      <c r="AF1" s="2" t="s">
        <v>40</v>
      </c>
      <c r="AG1" s="2" t="s">
        <v>41</v>
      </c>
    </row>
    <row r="2" spans="1:33" x14ac:dyDescent="0.45">
      <c r="A2" s="3" t="s">
        <v>10</v>
      </c>
      <c r="B2" s="3">
        <v>3</v>
      </c>
      <c r="C2" s="3" t="s">
        <v>8</v>
      </c>
      <c r="D2" s="3" t="s">
        <v>8</v>
      </c>
      <c r="E2" s="3">
        <f>240+60</f>
        <v>300</v>
      </c>
      <c r="F2" s="3" t="s">
        <v>9</v>
      </c>
      <c r="H2" s="4"/>
    </row>
    <row r="3" spans="1:33" x14ac:dyDescent="0.45">
      <c r="A3" s="3" t="s">
        <v>10</v>
      </c>
      <c r="B3" s="3">
        <v>3</v>
      </c>
      <c r="C3" s="3" t="s">
        <v>8</v>
      </c>
      <c r="D3" s="3" t="s">
        <v>8</v>
      </c>
      <c r="E3" s="3">
        <f>240+60</f>
        <v>300</v>
      </c>
      <c r="F3" s="3" t="s">
        <v>9</v>
      </c>
    </row>
    <row r="4" spans="1:33" x14ac:dyDescent="0.45">
      <c r="A4" s="3" t="s">
        <v>10</v>
      </c>
      <c r="B4" s="3">
        <v>3</v>
      </c>
      <c r="C4" s="3" t="s">
        <v>8</v>
      </c>
      <c r="D4" s="3" t="s">
        <v>8</v>
      </c>
      <c r="E4" s="3">
        <f>240+60</f>
        <v>300</v>
      </c>
      <c r="F4" s="3" t="s">
        <v>9</v>
      </c>
    </row>
    <row r="5" spans="1:33" x14ac:dyDescent="0.45">
      <c r="A5" s="3" t="s">
        <v>10</v>
      </c>
      <c r="B5" s="3">
        <v>3</v>
      </c>
      <c r="C5" s="3" t="s">
        <v>8</v>
      </c>
      <c r="D5" s="3" t="s">
        <v>8</v>
      </c>
      <c r="E5" s="3">
        <f>240+60</f>
        <v>300</v>
      </c>
      <c r="F5" s="3" t="s">
        <v>9</v>
      </c>
    </row>
    <row r="6" spans="1:33" x14ac:dyDescent="0.45">
      <c r="A6" s="3" t="s">
        <v>11</v>
      </c>
      <c r="B6" s="3">
        <v>3</v>
      </c>
      <c r="C6" s="3">
        <v>0.3</v>
      </c>
      <c r="D6" s="3">
        <v>0.15</v>
      </c>
      <c r="E6" s="3">
        <f>312+55</f>
        <v>367</v>
      </c>
      <c r="F6" s="3" t="s">
        <v>9</v>
      </c>
      <c r="G6" s="3">
        <v>9</v>
      </c>
      <c r="H6" s="5">
        <v>0.46979337930679299</v>
      </c>
      <c r="I6" s="5">
        <v>0.460313260555267</v>
      </c>
      <c r="J6" s="3">
        <v>-1.21428571428571</v>
      </c>
      <c r="K6" s="5">
        <v>5.6071428571428497</v>
      </c>
      <c r="L6" s="3">
        <v>-1.96428571428571</v>
      </c>
      <c r="M6" s="5">
        <v>7.46428571428571</v>
      </c>
      <c r="N6" s="3">
        <v>-3.1785714285714199</v>
      </c>
      <c r="O6" s="5">
        <v>12.464285714285699</v>
      </c>
      <c r="P6" s="3">
        <v>-4.6332146749349601E-2</v>
      </c>
      <c r="Q6" s="5">
        <v>0.92728957349973196</v>
      </c>
      <c r="R6" s="5">
        <v>0.58012820512820495</v>
      </c>
      <c r="S6" s="5">
        <v>6.7275641025641004</v>
      </c>
      <c r="T6" s="3">
        <v>-5.1282051282051197E-2</v>
      </c>
      <c r="U6" s="5">
        <v>8.3141025641025603</v>
      </c>
      <c r="V6" s="5">
        <v>0.52884615384615297</v>
      </c>
      <c r="W6" s="5">
        <v>13.253205128205099</v>
      </c>
      <c r="X6" s="3">
        <v>-0.34551867435679001</v>
      </c>
      <c r="Y6" s="5">
        <v>1.5028107835497699</v>
      </c>
    </row>
    <row r="7" spans="1:33" x14ac:dyDescent="0.45">
      <c r="A7" s="3" t="s">
        <v>11</v>
      </c>
      <c r="B7" s="3">
        <v>3</v>
      </c>
      <c r="C7" s="3">
        <v>0.3</v>
      </c>
      <c r="D7" s="3">
        <v>0.15</v>
      </c>
      <c r="E7" s="3">
        <f t="shared" ref="E7:E12" si="0">312+55</f>
        <v>367</v>
      </c>
      <c r="F7" s="3" t="s">
        <v>9</v>
      </c>
      <c r="G7" s="3">
        <v>23</v>
      </c>
      <c r="H7" s="5">
        <v>0.42275831103324801</v>
      </c>
      <c r="I7" s="5">
        <v>0.39097297191619801</v>
      </c>
      <c r="J7" s="3">
        <v>7.1428571428571397E-2</v>
      </c>
      <c r="K7" s="3">
        <v>6</v>
      </c>
      <c r="L7" s="3">
        <v>-0.875</v>
      </c>
      <c r="M7" s="5">
        <v>6.5535714285714199</v>
      </c>
      <c r="N7" s="3">
        <v>-0.80357142857142805</v>
      </c>
      <c r="O7" s="5">
        <v>11.982142857142801</v>
      </c>
      <c r="P7" s="5">
        <v>2.40660088307268E-2</v>
      </c>
      <c r="Q7" s="5">
        <v>0.88720923040646205</v>
      </c>
      <c r="R7" s="3">
        <v>-0.43910256410256399</v>
      </c>
      <c r="S7" s="5">
        <v>5.32371794871794</v>
      </c>
      <c r="T7" s="5">
        <v>0.21474358974358901</v>
      </c>
      <c r="U7" s="5">
        <v>7.0865384615384599</v>
      </c>
      <c r="V7" s="3">
        <v>-0.22435897435897401</v>
      </c>
      <c r="W7" s="5">
        <v>11.205128205128201</v>
      </c>
      <c r="X7" s="3">
        <v>-0.35374732379512802</v>
      </c>
      <c r="Y7" s="5">
        <v>1.2500667188360399</v>
      </c>
    </row>
    <row r="8" spans="1:33" x14ac:dyDescent="0.45">
      <c r="A8" s="3" t="s">
        <v>11</v>
      </c>
      <c r="B8" s="3">
        <v>3</v>
      </c>
      <c r="C8" s="3">
        <v>0.3</v>
      </c>
      <c r="D8" s="3">
        <v>0.15</v>
      </c>
      <c r="E8" s="3">
        <f t="shared" si="0"/>
        <v>367</v>
      </c>
      <c r="F8" s="3" t="s">
        <v>9</v>
      </c>
      <c r="G8" s="3">
        <v>24</v>
      </c>
      <c r="H8" s="5">
        <v>0.40802776813507002</v>
      </c>
      <c r="I8" s="5">
        <v>0.39677920937538103</v>
      </c>
      <c r="J8" s="5">
        <v>0.69642857142857095</v>
      </c>
      <c r="K8" s="5">
        <v>5.9821428571428497</v>
      </c>
      <c r="L8" s="5">
        <v>0.73214285714285698</v>
      </c>
      <c r="M8" s="5">
        <v>7.4464285714285703</v>
      </c>
      <c r="N8" s="5">
        <v>1.4285714285714199</v>
      </c>
      <c r="O8" s="5">
        <v>12.607142857142801</v>
      </c>
      <c r="P8" s="5">
        <v>2.9899774270079602E-2</v>
      </c>
      <c r="Q8" s="5">
        <v>0.99159138748607101</v>
      </c>
      <c r="R8" s="5">
        <v>0.394230769230769</v>
      </c>
      <c r="S8" s="5">
        <v>5.7275641025641004</v>
      </c>
      <c r="T8" s="5">
        <v>5.7692307692307598E-2</v>
      </c>
      <c r="U8" s="5">
        <v>6.3525641025641004</v>
      </c>
      <c r="V8" s="5">
        <v>0.45192307692307598</v>
      </c>
      <c r="W8" s="5">
        <v>10.6378205128205</v>
      </c>
      <c r="X8" s="3">
        <v>-8.8497149787379395E-2</v>
      </c>
      <c r="Y8" s="5">
        <v>1.0426775480797801</v>
      </c>
    </row>
    <row r="9" spans="1:33" x14ac:dyDescent="0.45">
      <c r="A9" s="3" t="s">
        <v>11</v>
      </c>
      <c r="B9" s="3">
        <v>3</v>
      </c>
      <c r="C9" s="3">
        <v>0.3</v>
      </c>
      <c r="D9" s="3">
        <v>0.15</v>
      </c>
      <c r="E9" s="3">
        <f t="shared" si="0"/>
        <v>367</v>
      </c>
      <c r="F9" s="3" t="s">
        <v>9</v>
      </c>
      <c r="G9" s="3">
        <v>27</v>
      </c>
      <c r="H9" s="5">
        <v>0.39782798290252602</v>
      </c>
      <c r="I9" s="5">
        <v>0.40042153000831598</v>
      </c>
      <c r="J9" s="3">
        <v>-0.71428571428571397</v>
      </c>
      <c r="K9" s="5">
        <v>5.1785714285714199</v>
      </c>
      <c r="L9" s="3">
        <v>-1.6428571428571399</v>
      </c>
      <c r="M9" s="5">
        <v>6.3928571428571397</v>
      </c>
      <c r="N9" s="3">
        <v>-2.3571428571428501</v>
      </c>
      <c r="O9" s="5">
        <v>10.8928571428571</v>
      </c>
      <c r="P9" s="5">
        <v>4.16400133494867E-2</v>
      </c>
      <c r="Q9" s="5">
        <v>0.71611258647533305</v>
      </c>
      <c r="R9" s="3">
        <v>-1.2692307692307601</v>
      </c>
      <c r="S9" s="5">
        <v>5.5192307692307603</v>
      </c>
      <c r="T9" s="3">
        <v>-1.1025641025641</v>
      </c>
      <c r="U9" s="5">
        <v>6.47435897435897</v>
      </c>
      <c r="V9" s="3">
        <v>-2.37179487179487</v>
      </c>
      <c r="W9" s="5">
        <v>10.8333333333333</v>
      </c>
      <c r="X9" s="3">
        <v>-0.223086747772795</v>
      </c>
      <c r="Y9" s="5">
        <v>1.0078245168598801</v>
      </c>
    </row>
    <row r="10" spans="1:33" x14ac:dyDescent="0.45">
      <c r="A10" s="3" t="s">
        <v>11</v>
      </c>
      <c r="B10" s="3">
        <v>3</v>
      </c>
      <c r="C10" s="3">
        <v>0.3</v>
      </c>
      <c r="D10" s="3">
        <v>0.15</v>
      </c>
      <c r="E10" s="3">
        <f t="shared" si="0"/>
        <v>367</v>
      </c>
      <c r="F10" s="3" t="s">
        <v>9</v>
      </c>
      <c r="G10" s="3">
        <v>18</v>
      </c>
      <c r="H10" s="5">
        <v>0.42331525683402998</v>
      </c>
      <c r="I10" s="5">
        <v>0.409577786922454</v>
      </c>
      <c r="J10" s="5">
        <v>0.80357142857142805</v>
      </c>
      <c r="K10" s="3">
        <v>6.125</v>
      </c>
      <c r="L10" s="3">
        <v>-3.1607142857142798</v>
      </c>
      <c r="M10" s="5">
        <v>6.9107142857142803</v>
      </c>
      <c r="N10" s="3">
        <v>-2.3571428571428501</v>
      </c>
      <c r="O10" s="5">
        <v>12.5714285714285</v>
      </c>
      <c r="P10" s="5">
        <v>0.55537609978618097</v>
      </c>
      <c r="Q10" s="3">
        <v>0.88239045698621499</v>
      </c>
      <c r="R10" s="3">
        <v>-0.25320512820512803</v>
      </c>
      <c r="S10" s="5">
        <v>6.1826923076923004</v>
      </c>
      <c r="T10" s="5">
        <v>0.394230769230769</v>
      </c>
      <c r="U10" s="5">
        <v>6.7596153846153797</v>
      </c>
      <c r="V10" s="5">
        <v>0.141025641025641</v>
      </c>
      <c r="W10" s="5">
        <v>11.801282051282</v>
      </c>
      <c r="X10" s="3">
        <v>-0.24692324106376401</v>
      </c>
      <c r="Y10" s="5">
        <v>1.0753611790386</v>
      </c>
    </row>
    <row r="11" spans="1:33" x14ac:dyDescent="0.45">
      <c r="A11" s="3" t="s">
        <v>11</v>
      </c>
      <c r="B11" s="3">
        <v>3</v>
      </c>
      <c r="C11" s="3">
        <v>0.3</v>
      </c>
      <c r="D11" s="3">
        <v>0.15</v>
      </c>
      <c r="E11" s="3">
        <f t="shared" si="0"/>
        <v>367</v>
      </c>
      <c r="F11" s="3" t="s">
        <v>9</v>
      </c>
      <c r="G11" s="3">
        <v>26</v>
      </c>
      <c r="H11" s="5">
        <v>0.42103764414787198</v>
      </c>
      <c r="I11" s="5">
        <v>0.39068034291267301</v>
      </c>
      <c r="J11" s="5">
        <v>0.76785714285714202</v>
      </c>
      <c r="K11" s="3">
        <v>7.125</v>
      </c>
      <c r="L11" s="5">
        <v>0.107142857142857</v>
      </c>
      <c r="M11" s="5">
        <v>6.9285714285714199</v>
      </c>
      <c r="N11" s="3">
        <v>0.875</v>
      </c>
      <c r="O11" s="5">
        <v>13.839285714285699</v>
      </c>
      <c r="P11" s="5">
        <v>0.23162751731175499</v>
      </c>
      <c r="Q11" s="5">
        <v>0.88022366467897795</v>
      </c>
      <c r="R11" s="3">
        <v>-1.00320512820512</v>
      </c>
      <c r="S11" s="5">
        <v>5.5929487179487101</v>
      </c>
      <c r="T11" s="5">
        <v>1.15064102564102</v>
      </c>
      <c r="U11" s="5">
        <v>7.07371794871794</v>
      </c>
      <c r="V11" s="5">
        <v>0.147435897435897</v>
      </c>
      <c r="W11" s="5">
        <v>11.557692307692299</v>
      </c>
      <c r="X11" s="3">
        <v>-0.55874386569006995</v>
      </c>
      <c r="Y11" s="5">
        <v>1.21224456423187</v>
      </c>
    </row>
    <row r="12" spans="1:33" x14ac:dyDescent="0.45">
      <c r="A12" s="3" t="s">
        <v>11</v>
      </c>
      <c r="B12" s="3">
        <v>3</v>
      </c>
      <c r="C12" s="3">
        <v>0.3</v>
      </c>
      <c r="D12" s="3">
        <v>0.15</v>
      </c>
      <c r="E12" s="3">
        <f t="shared" si="0"/>
        <v>367</v>
      </c>
      <c r="F12" s="3" t="s">
        <v>9</v>
      </c>
      <c r="G12" s="3">
        <v>22</v>
      </c>
      <c r="H12" s="5">
        <v>0.400962024927139</v>
      </c>
      <c r="I12" s="3">
        <v>0.39353477954864502</v>
      </c>
      <c r="J12" s="5">
        <v>0.23214285714285701</v>
      </c>
      <c r="K12" s="3">
        <v>5.875</v>
      </c>
      <c r="L12" s="3">
        <v>-1.7678571428571399</v>
      </c>
      <c r="M12" s="5">
        <v>5.6607142857142803</v>
      </c>
      <c r="N12" s="3">
        <v>-1.53571428571428</v>
      </c>
      <c r="O12" s="5">
        <v>11.035714285714199</v>
      </c>
      <c r="P12" s="5">
        <v>0.332157169294445</v>
      </c>
      <c r="Q12" s="3">
        <v>0.61833035609910802</v>
      </c>
      <c r="R12" s="3">
        <v>-1.45192307692307</v>
      </c>
      <c r="S12" s="5">
        <v>5.2596153846153797</v>
      </c>
      <c r="T12" s="3">
        <v>-0.15064102564102499</v>
      </c>
      <c r="U12" s="5">
        <v>6.8621794871794801</v>
      </c>
      <c r="V12" s="3">
        <v>-1.6025641025641</v>
      </c>
      <c r="W12" s="5">
        <v>11.128205128205099</v>
      </c>
      <c r="X12" s="3">
        <v>-0.39907917570601398</v>
      </c>
      <c r="Y12" s="5">
        <v>0.98863907082186797</v>
      </c>
    </row>
    <row r="13" spans="1:33" s="6" customFormat="1" x14ac:dyDescent="0.45">
      <c r="A13" s="6" t="s">
        <v>12</v>
      </c>
      <c r="B13" s="6">
        <v>3</v>
      </c>
      <c r="C13" s="6">
        <v>0.3</v>
      </c>
      <c r="D13" s="6">
        <v>0.15</v>
      </c>
      <c r="E13" s="6">
        <f>328+81</f>
        <v>409</v>
      </c>
      <c r="F13" s="6" t="s">
        <v>9</v>
      </c>
      <c r="G13" s="6">
        <v>20</v>
      </c>
      <c r="H13" s="7">
        <v>0.38487634062767001</v>
      </c>
      <c r="I13" s="7">
        <v>0.37529167532920799</v>
      </c>
      <c r="J13" s="7">
        <v>1.5208333333333299</v>
      </c>
      <c r="K13" s="7">
        <v>4.4166666666666599</v>
      </c>
      <c r="L13" s="6">
        <v>-0.51041666666666596</v>
      </c>
      <c r="M13" s="6">
        <v>6.90625</v>
      </c>
      <c r="N13" s="7">
        <v>1.0104166666666601</v>
      </c>
      <c r="O13" s="7">
        <v>9.8020833333333304</v>
      </c>
      <c r="P13" s="6">
        <v>-0.20980728521203801</v>
      </c>
      <c r="Q13" s="7">
        <v>1.27578322012959</v>
      </c>
      <c r="R13" s="7">
        <v>1.7797619047619</v>
      </c>
      <c r="S13" s="7">
        <v>6.0297619047618998</v>
      </c>
      <c r="T13" s="7">
        <v>1.2886904761904701</v>
      </c>
      <c r="U13" s="7">
        <v>7.2291666666666599</v>
      </c>
      <c r="V13" s="7">
        <v>3.06845238095238</v>
      </c>
      <c r="W13" s="7">
        <v>11.7708333333333</v>
      </c>
      <c r="X13" s="6">
        <v>-0.26903866412580102</v>
      </c>
      <c r="Y13" s="7">
        <v>1.5012653781774401</v>
      </c>
      <c r="Z13" s="6">
        <v>0.84484027519277605</v>
      </c>
      <c r="AA13" s="7">
        <v>0.80901534020990395</v>
      </c>
    </row>
    <row r="14" spans="1:33" s="6" customFormat="1" x14ac:dyDescent="0.45">
      <c r="A14" s="6" t="s">
        <v>12</v>
      </c>
      <c r="B14" s="6">
        <v>3</v>
      </c>
      <c r="C14" s="6">
        <v>0.3</v>
      </c>
      <c r="D14" s="6">
        <v>0.15</v>
      </c>
      <c r="E14" s="6">
        <f t="shared" ref="E14:E24" si="1">328+81</f>
        <v>409</v>
      </c>
      <c r="F14" s="6" t="s">
        <v>9</v>
      </c>
      <c r="G14" s="6">
        <v>8</v>
      </c>
      <c r="H14" s="7">
        <v>0.43016397953033397</v>
      </c>
      <c r="I14" s="7">
        <v>0.42701229453086798</v>
      </c>
      <c r="J14" s="8">
        <v>6.5104166666666599</v>
      </c>
      <c r="K14" s="8">
        <v>7.5729166666666599</v>
      </c>
      <c r="L14" s="7">
        <v>2.3958333333333299</v>
      </c>
      <c r="M14" s="6">
        <v>6.1875</v>
      </c>
      <c r="N14" s="6">
        <v>8.90625</v>
      </c>
      <c r="O14" s="7">
        <v>11.0520833333333</v>
      </c>
      <c r="P14" s="6">
        <v>-1.2224447814483799E-2</v>
      </c>
      <c r="Q14" s="7">
        <v>1.7000850564734</v>
      </c>
      <c r="R14" s="7">
        <v>2.1964285714285698</v>
      </c>
      <c r="S14" s="7">
        <v>7.3333333333333304</v>
      </c>
      <c r="T14" s="7">
        <v>1.7678571428571399</v>
      </c>
      <c r="U14" s="6">
        <v>8.3154761904761898</v>
      </c>
      <c r="V14" s="7">
        <v>3.96428571428571</v>
      </c>
      <c r="W14" s="7">
        <v>13.940476190476099</v>
      </c>
      <c r="X14" s="6">
        <v>-0.29674707843735598</v>
      </c>
      <c r="Y14" s="7">
        <v>1.4837362044297799</v>
      </c>
      <c r="Z14" s="7">
        <v>0.81149286577756796</v>
      </c>
      <c r="AA14" s="7">
        <v>0.80676721159662601</v>
      </c>
    </row>
    <row r="15" spans="1:33" s="6" customFormat="1" x14ac:dyDescent="0.45">
      <c r="A15" s="6" t="s">
        <v>12</v>
      </c>
      <c r="B15" s="6">
        <v>3</v>
      </c>
      <c r="C15" s="6">
        <v>0.3</v>
      </c>
      <c r="D15" s="6">
        <v>0.15</v>
      </c>
      <c r="E15" s="6">
        <f t="shared" si="1"/>
        <v>409</v>
      </c>
      <c r="F15" s="6" t="s">
        <v>9</v>
      </c>
      <c r="G15" s="6">
        <v>14</v>
      </c>
      <c r="H15" s="7">
        <v>0.41656950116157498</v>
      </c>
      <c r="I15" s="7">
        <v>0.37559813261032099</v>
      </c>
      <c r="J15" s="6">
        <v>1.03125</v>
      </c>
      <c r="K15" s="7">
        <v>3.9895833333333299</v>
      </c>
      <c r="L15" s="7">
        <v>0.89583333333333304</v>
      </c>
      <c r="M15" s="6">
        <v>5.375</v>
      </c>
      <c r="N15" s="7">
        <v>1.9270833333333299</v>
      </c>
      <c r="O15" s="7">
        <v>7.8229166666666599</v>
      </c>
      <c r="P15" s="6">
        <v>-0.40581853355313602</v>
      </c>
      <c r="Q15" s="7">
        <v>1.18708167165379</v>
      </c>
      <c r="R15" s="6">
        <v>1.48809523809523E-2</v>
      </c>
      <c r="S15" s="7">
        <v>6.3541666666666599</v>
      </c>
      <c r="T15" s="7">
        <v>1.9970238095238</v>
      </c>
      <c r="U15" s="7">
        <v>7.2291666666666599</v>
      </c>
      <c r="V15" s="7">
        <v>2.0119047619047601</v>
      </c>
      <c r="W15" s="7">
        <v>11.732142857142801</v>
      </c>
      <c r="X15" s="6">
        <v>-0.46255261786013702</v>
      </c>
      <c r="Y15" s="7">
        <v>1.3344338034991901</v>
      </c>
      <c r="Z15" s="7">
        <v>0.84723859153701098</v>
      </c>
      <c r="AA15" s="7">
        <v>0.84620589918815003</v>
      </c>
    </row>
    <row r="16" spans="1:33" s="6" customFormat="1" x14ac:dyDescent="0.45">
      <c r="A16" s="6" t="s">
        <v>12</v>
      </c>
      <c r="B16" s="6">
        <v>3</v>
      </c>
      <c r="C16" s="6">
        <v>0.3</v>
      </c>
      <c r="D16" s="6">
        <v>0.15</v>
      </c>
      <c r="E16" s="6">
        <f t="shared" si="1"/>
        <v>409</v>
      </c>
      <c r="F16" s="6" t="s">
        <v>9</v>
      </c>
      <c r="G16" s="6">
        <v>15</v>
      </c>
      <c r="H16" s="7">
        <v>0.39602848887443498</v>
      </c>
      <c r="I16" s="7">
        <v>0.38145738840103099</v>
      </c>
      <c r="J16" s="9">
        <v>-1.0416666666666601</v>
      </c>
      <c r="K16" s="9">
        <v>4.5625</v>
      </c>
      <c r="L16" s="6">
        <v>-3.0625</v>
      </c>
      <c r="M16" s="7">
        <v>8.7083333333333304</v>
      </c>
      <c r="N16" s="6">
        <v>-4.1041666666666599</v>
      </c>
      <c r="O16" s="7">
        <v>11.3958333333333</v>
      </c>
      <c r="P16" s="6">
        <v>-0.156005608677318</v>
      </c>
      <c r="Q16" s="7">
        <v>1.49291096427002</v>
      </c>
      <c r="R16" s="7">
        <v>0.24404761904761901</v>
      </c>
      <c r="S16" s="7">
        <v>5.9166666666666599</v>
      </c>
      <c r="T16" s="6">
        <v>-0.29761904761904701</v>
      </c>
      <c r="U16" s="7">
        <v>6.8095238095238004</v>
      </c>
      <c r="V16" s="6">
        <v>-5.3571428571428499E-2</v>
      </c>
      <c r="W16" s="7">
        <v>11.6011904761904</v>
      </c>
      <c r="X16" s="6">
        <v>-5.3544994340659298E-2</v>
      </c>
      <c r="Y16" s="7">
        <v>1.1349065123948401</v>
      </c>
      <c r="Z16" s="7">
        <v>0.86366666296901295</v>
      </c>
      <c r="AA16" s="7">
        <v>0.835014769990304</v>
      </c>
    </row>
    <row r="17" spans="1:27" s="6" customFormat="1" x14ac:dyDescent="0.45">
      <c r="A17" s="6" t="s">
        <v>12</v>
      </c>
      <c r="B17" s="6">
        <v>3</v>
      </c>
      <c r="C17" s="6">
        <v>0.3</v>
      </c>
      <c r="D17" s="6">
        <v>0.15</v>
      </c>
      <c r="E17" s="6">
        <f t="shared" si="1"/>
        <v>409</v>
      </c>
      <c r="F17" s="6" t="s">
        <v>9</v>
      </c>
      <c r="G17" s="6">
        <v>17</v>
      </c>
      <c r="H17" s="7">
        <v>0.40961647033691401</v>
      </c>
      <c r="I17" s="7">
        <v>0.38912472128868097</v>
      </c>
      <c r="J17" s="6">
        <v>0.21875</v>
      </c>
      <c r="K17" s="7">
        <v>5.3229166666666599</v>
      </c>
      <c r="L17" s="6">
        <v>-2.5104166666666599</v>
      </c>
      <c r="M17" s="7">
        <v>6.8645833333333304</v>
      </c>
      <c r="N17" s="6">
        <v>-2.2916666666666599</v>
      </c>
      <c r="O17" s="7">
        <v>9.8333333333333304</v>
      </c>
      <c r="P17" s="6">
        <v>8.1158457257435607E-3</v>
      </c>
      <c r="Q17" s="7">
        <v>1.2056429926282899</v>
      </c>
      <c r="R17" s="6">
        <v>-0.50892857142857095</v>
      </c>
      <c r="S17" s="7">
        <v>6.6934523809523796</v>
      </c>
      <c r="T17" s="6">
        <v>-1.25595238095238</v>
      </c>
      <c r="U17" s="7">
        <v>6.8452380952380896</v>
      </c>
      <c r="V17" s="6">
        <v>-1.7648809523809501</v>
      </c>
      <c r="W17" s="7">
        <v>12.294642857142801</v>
      </c>
      <c r="X17" s="6">
        <v>-2.5887904758867201E-2</v>
      </c>
      <c r="Y17" s="7">
        <v>1.0879621289053401</v>
      </c>
      <c r="Z17" s="7">
        <v>0.82618438737901401</v>
      </c>
      <c r="AA17" s="6">
        <v>0.810712814867947</v>
      </c>
    </row>
    <row r="18" spans="1:27" s="6" customFormat="1" x14ac:dyDescent="0.45">
      <c r="A18" s="6" t="s">
        <v>12</v>
      </c>
      <c r="B18" s="6">
        <v>3</v>
      </c>
      <c r="C18" s="6">
        <v>0.3</v>
      </c>
      <c r="D18" s="6">
        <v>0.15</v>
      </c>
      <c r="E18" s="6">
        <f t="shared" si="1"/>
        <v>409</v>
      </c>
      <c r="F18" s="6" t="s">
        <v>9</v>
      </c>
      <c r="G18" s="6">
        <v>19</v>
      </c>
      <c r="H18" s="7">
        <v>0.38612028956413202</v>
      </c>
      <c r="I18" s="6">
        <v>0.36080586910247803</v>
      </c>
      <c r="J18" s="6">
        <v>-1.8125</v>
      </c>
      <c r="K18" s="6">
        <v>5.0625</v>
      </c>
      <c r="L18" s="7">
        <v>4.0208333333333304</v>
      </c>
      <c r="M18" s="6">
        <v>7.8125</v>
      </c>
      <c r="N18" s="7">
        <v>2.2083333333333299</v>
      </c>
      <c r="O18" s="6">
        <v>11.1875</v>
      </c>
      <c r="P18" s="6">
        <v>-1.4860819876418401</v>
      </c>
      <c r="Q18" s="7">
        <v>1.73456439769533</v>
      </c>
      <c r="R18" s="7">
        <v>0.20535714285714199</v>
      </c>
      <c r="S18" s="7">
        <v>6.0505952380952301</v>
      </c>
      <c r="T18" s="7">
        <v>1.81845238095238</v>
      </c>
      <c r="U18" s="7">
        <v>7.0803571428571397</v>
      </c>
      <c r="V18" s="7">
        <v>2.0238095238095202</v>
      </c>
      <c r="W18" s="7">
        <v>11.869047619047601</v>
      </c>
      <c r="X18" s="6">
        <v>-0.37533959331943501</v>
      </c>
      <c r="Y18" s="7">
        <v>1.2226481582820199</v>
      </c>
      <c r="Z18" s="7">
        <v>0.85333386371907805</v>
      </c>
      <c r="AA18" s="7">
        <v>0.81953168055624304</v>
      </c>
    </row>
    <row r="19" spans="1:27" s="6" customFormat="1" x14ac:dyDescent="0.45">
      <c r="A19" s="6" t="s">
        <v>12</v>
      </c>
      <c r="B19" s="6">
        <v>3</v>
      </c>
      <c r="C19" s="6">
        <v>0.3</v>
      </c>
      <c r="D19" s="6">
        <v>0.15</v>
      </c>
      <c r="E19" s="6">
        <f t="shared" si="1"/>
        <v>409</v>
      </c>
      <c r="F19" s="6" t="s">
        <v>9</v>
      </c>
      <c r="G19" s="6">
        <v>21</v>
      </c>
      <c r="H19" s="7">
        <v>0.38040524721145602</v>
      </c>
      <c r="I19" s="7">
        <v>0.35265645384788502</v>
      </c>
      <c r="J19" s="7">
        <v>1.3020833333333299</v>
      </c>
      <c r="K19" s="6">
        <v>5.03125</v>
      </c>
      <c r="L19" s="6">
        <v>-2.6875</v>
      </c>
      <c r="M19" s="7">
        <v>6.8333333333333304</v>
      </c>
      <c r="N19" s="6">
        <v>-1.3854166666666601</v>
      </c>
      <c r="O19" s="6">
        <v>9.40625</v>
      </c>
      <c r="P19" s="7">
        <v>0.30176825188216799</v>
      </c>
      <c r="Q19" s="7">
        <v>1.22458808814753</v>
      </c>
      <c r="R19" s="6">
        <v>5.9523809523809503E-3</v>
      </c>
      <c r="S19" s="7">
        <v>5.7380952380952301</v>
      </c>
      <c r="T19" s="7">
        <v>0.55357142857142805</v>
      </c>
      <c r="U19" s="7">
        <v>6.5654761904761898</v>
      </c>
      <c r="V19" s="7">
        <v>0.55952380952380898</v>
      </c>
      <c r="W19" s="7">
        <v>11.339285714285699</v>
      </c>
      <c r="X19" s="6">
        <v>-0.212961932959988</v>
      </c>
      <c r="Y19" s="7">
        <v>1.1133978662083199</v>
      </c>
      <c r="Z19" s="6">
        <v>0.85529333421681197</v>
      </c>
      <c r="AA19" s="7">
        <v>0.83902858189985396</v>
      </c>
    </row>
    <row r="20" spans="1:27" s="6" customFormat="1" x14ac:dyDescent="0.45">
      <c r="A20" s="6" t="s">
        <v>12</v>
      </c>
      <c r="B20" s="6">
        <v>3</v>
      </c>
      <c r="C20" s="6">
        <v>0.3</v>
      </c>
      <c r="D20" s="6">
        <v>0.15</v>
      </c>
      <c r="E20" s="6">
        <f t="shared" si="1"/>
        <v>409</v>
      </c>
      <c r="F20" s="6" t="s">
        <v>9</v>
      </c>
      <c r="G20" s="6">
        <v>22</v>
      </c>
      <c r="H20" s="7">
        <v>0.38696324825286799</v>
      </c>
      <c r="I20" s="7">
        <v>0.37698060274124101</v>
      </c>
      <c r="J20" s="7">
        <v>0.57291666666666596</v>
      </c>
      <c r="K20" s="7">
        <v>4.7604166666666599</v>
      </c>
      <c r="L20" s="6">
        <v>0.53125</v>
      </c>
      <c r="M20" s="6">
        <v>6.15625</v>
      </c>
      <c r="N20" s="7">
        <v>1.1041666666666601</v>
      </c>
      <c r="O20" s="7">
        <v>9.1041666666666607</v>
      </c>
      <c r="P20" s="6">
        <v>-0.37928329803984201</v>
      </c>
      <c r="Q20" s="7">
        <v>1.18918184557839</v>
      </c>
      <c r="R20" s="6">
        <v>-0.5625</v>
      </c>
      <c r="S20" s="7">
        <v>5.6636904761904701</v>
      </c>
      <c r="T20" s="6">
        <v>-0.889880952380952</v>
      </c>
      <c r="U20" s="7">
        <v>7.1160714285714199</v>
      </c>
      <c r="V20" s="6">
        <v>-1.4523809523809501</v>
      </c>
      <c r="W20" s="7">
        <v>11.839285714285699</v>
      </c>
      <c r="X20" s="6">
        <v>-0.13008737016115801</v>
      </c>
      <c r="Y20" s="7">
        <v>1.0117321060750899</v>
      </c>
      <c r="Z20" s="7">
        <v>0.85088949754364296</v>
      </c>
      <c r="AA20" s="7">
        <v>0.83841949741535304</v>
      </c>
    </row>
    <row r="21" spans="1:27" s="6" customFormat="1" x14ac:dyDescent="0.45">
      <c r="A21" s="6" t="s">
        <v>12</v>
      </c>
      <c r="B21" s="6">
        <v>3</v>
      </c>
      <c r="C21" s="6">
        <v>0.3</v>
      </c>
      <c r="D21" s="6">
        <v>0.15</v>
      </c>
      <c r="E21" s="6">
        <f t="shared" si="1"/>
        <v>409</v>
      </c>
      <c r="F21" s="6" t="s">
        <v>9</v>
      </c>
      <c r="G21" s="6">
        <v>23</v>
      </c>
      <c r="H21" s="7">
        <v>0.41070190072059598</v>
      </c>
      <c r="I21" s="7">
        <v>0.434667438268661</v>
      </c>
      <c r="J21" s="7">
        <v>0.51041666666666596</v>
      </c>
      <c r="K21" s="6">
        <v>4.65625</v>
      </c>
      <c r="L21" s="7">
        <v>0.86458333333333304</v>
      </c>
      <c r="M21" s="7">
        <v>5.9479166666666599</v>
      </c>
      <c r="N21" s="6">
        <v>1.375</v>
      </c>
      <c r="O21" s="7">
        <v>9.6666666666666607</v>
      </c>
      <c r="P21" s="6">
        <v>-0.40863831306341403</v>
      </c>
      <c r="Q21" s="7">
        <v>1.02794764357994</v>
      </c>
      <c r="R21" s="6">
        <v>-0.33333333333333298</v>
      </c>
      <c r="S21" s="7">
        <v>5.8630952380952301</v>
      </c>
      <c r="T21" s="7">
        <v>0.64880952380952295</v>
      </c>
      <c r="U21" s="7">
        <v>6.4583333333333304</v>
      </c>
      <c r="V21" s="7">
        <v>0.31547619047619002</v>
      </c>
      <c r="W21" s="7">
        <v>11.3511904761904</v>
      </c>
      <c r="X21" s="6">
        <v>-0.241474807676162</v>
      </c>
      <c r="Y21" s="7">
        <v>0.97907283217565599</v>
      </c>
      <c r="Z21" s="7">
        <v>0.80034305440938303</v>
      </c>
      <c r="AA21" s="7">
        <v>0.78858305634291803</v>
      </c>
    </row>
    <row r="22" spans="1:27" s="6" customFormat="1" x14ac:dyDescent="0.45">
      <c r="A22" s="6" t="s">
        <v>12</v>
      </c>
      <c r="B22" s="6">
        <v>3</v>
      </c>
      <c r="C22" s="6">
        <v>0.3</v>
      </c>
      <c r="D22" s="6">
        <v>0.15</v>
      </c>
      <c r="E22" s="6">
        <f t="shared" si="1"/>
        <v>409</v>
      </c>
      <c r="F22" s="6" t="s">
        <v>9</v>
      </c>
      <c r="G22" s="6">
        <v>26</v>
      </c>
      <c r="H22" s="7">
        <v>0.39799109101295399</v>
      </c>
      <c r="I22" s="7">
        <v>0.37795954942703203</v>
      </c>
      <c r="J22" s="7">
        <v>5.2083333333333301E-2</v>
      </c>
      <c r="K22" s="7">
        <v>4.0729166666666599</v>
      </c>
      <c r="L22" s="7">
        <v>5.2083333333333301E-2</v>
      </c>
      <c r="M22" s="7">
        <v>5.9479166666666599</v>
      </c>
      <c r="N22" s="7">
        <v>0.10416666666666601</v>
      </c>
      <c r="O22" s="7">
        <v>8.7083333333333304</v>
      </c>
      <c r="P22" s="6">
        <v>-0.34225149621968298</v>
      </c>
      <c r="Q22" s="7">
        <v>1.10631264127739</v>
      </c>
      <c r="R22" s="6">
        <v>-0.48214285714285698</v>
      </c>
      <c r="S22" s="7">
        <v>5.7738095238095202</v>
      </c>
      <c r="T22" s="7">
        <v>1.4047619047619</v>
      </c>
      <c r="U22" s="7">
        <v>6.8511904761904701</v>
      </c>
      <c r="V22" s="7">
        <v>0.92261904761904701</v>
      </c>
      <c r="W22" s="7">
        <v>11.214285714285699</v>
      </c>
      <c r="X22" s="6">
        <v>-0.32828383742435102</v>
      </c>
      <c r="Y22" s="7">
        <v>1.1220435184411099</v>
      </c>
      <c r="Z22" s="7">
        <v>0.85661520078429199</v>
      </c>
      <c r="AA22" s="7">
        <v>0.80855828011053399</v>
      </c>
    </row>
    <row r="23" spans="1:27" s="6" customFormat="1" x14ac:dyDescent="0.45">
      <c r="A23" s="6" t="s">
        <v>12</v>
      </c>
      <c r="B23" s="6">
        <v>3</v>
      </c>
      <c r="C23" s="6">
        <v>0.3</v>
      </c>
      <c r="D23" s="6">
        <v>0.15</v>
      </c>
      <c r="E23" s="6">
        <f t="shared" si="1"/>
        <v>409</v>
      </c>
      <c r="F23" s="6" t="s">
        <v>9</v>
      </c>
      <c r="G23" s="6">
        <v>27</v>
      </c>
      <c r="H23" s="7">
        <v>0.37331157922744701</v>
      </c>
      <c r="I23" s="7">
        <v>0.35545939207076999</v>
      </c>
      <c r="J23" s="6">
        <v>-1.90625</v>
      </c>
      <c r="K23" s="7">
        <v>4.8229166666666599</v>
      </c>
      <c r="L23" s="7">
        <v>0.91666666666666596</v>
      </c>
      <c r="M23" s="6">
        <v>5.5</v>
      </c>
      <c r="N23" s="6">
        <v>-0.98958333333333304</v>
      </c>
      <c r="O23" s="7">
        <v>9.2604166666666607</v>
      </c>
      <c r="P23" s="6">
        <v>-0.65625182412430405</v>
      </c>
      <c r="Q23" s="7">
        <v>0.97460905697839295</v>
      </c>
      <c r="R23" s="6">
        <v>0</v>
      </c>
      <c r="S23" s="7">
        <v>5.5357142857142803</v>
      </c>
      <c r="T23" s="7">
        <v>0.11011904761904701</v>
      </c>
      <c r="U23" s="7">
        <v>6.4136904761904701</v>
      </c>
      <c r="V23" s="7">
        <v>0.11011904761904701</v>
      </c>
      <c r="W23" s="7">
        <v>10.9672619047619</v>
      </c>
      <c r="X23" s="6">
        <v>-0.20662034053995301</v>
      </c>
      <c r="Y23" s="7">
        <v>1.0721490739832999</v>
      </c>
      <c r="Z23" s="7">
        <v>0.837989036931586</v>
      </c>
      <c r="AA23" s="7">
        <v>0.83195534512323899</v>
      </c>
    </row>
    <row r="24" spans="1:27" s="6" customFormat="1" x14ac:dyDescent="0.45">
      <c r="A24" s="6" t="s">
        <v>12</v>
      </c>
      <c r="B24" s="6">
        <v>3</v>
      </c>
      <c r="C24" s="6">
        <v>0.3</v>
      </c>
      <c r="D24" s="6">
        <v>0.15</v>
      </c>
      <c r="E24" s="6">
        <f t="shared" si="1"/>
        <v>409</v>
      </c>
      <c r="F24" s="6" t="s">
        <v>9</v>
      </c>
      <c r="G24" s="6">
        <v>29</v>
      </c>
      <c r="H24" s="6">
        <v>0.37279689311981201</v>
      </c>
      <c r="I24" s="7">
        <v>0.39258939027786199</v>
      </c>
      <c r="J24" s="6">
        <v>8.3333333333333301E-2</v>
      </c>
      <c r="K24" s="6">
        <v>4.625</v>
      </c>
      <c r="L24" s="7">
        <v>0.58333333333333304</v>
      </c>
      <c r="M24" s="7">
        <v>5.8541666666666599</v>
      </c>
      <c r="N24" s="7">
        <v>0.66666666666666596</v>
      </c>
      <c r="O24" s="7">
        <v>9.4166666666666607</v>
      </c>
      <c r="P24" s="6">
        <v>-0.350829280575085</v>
      </c>
      <c r="Q24" s="7">
        <v>0.95536706145873196</v>
      </c>
      <c r="R24" s="6">
        <v>-0.51785714285714202</v>
      </c>
      <c r="S24" s="7">
        <v>5.8809523809523796</v>
      </c>
      <c r="T24" s="6">
        <v>-1.81547619047619</v>
      </c>
      <c r="U24" s="7">
        <v>6.2261904761904701</v>
      </c>
      <c r="V24" s="6">
        <v>-2.3333333333333299</v>
      </c>
      <c r="W24" s="7">
        <v>11.1428571428571</v>
      </c>
      <c r="X24" s="6">
        <v>9.3723870517064295E-2</v>
      </c>
      <c r="Y24" s="7">
        <v>0.82070394136554403</v>
      </c>
      <c r="Z24" s="7">
        <v>0.79980162273473598</v>
      </c>
      <c r="AA24" s="7">
        <v>0.79875394469991701</v>
      </c>
    </row>
    <row r="25" spans="1:27" x14ac:dyDescent="0.45">
      <c r="A25" s="3" t="s">
        <v>32</v>
      </c>
      <c r="B25" s="3">
        <v>3</v>
      </c>
      <c r="C25" s="3">
        <v>0.3</v>
      </c>
      <c r="D25" s="3">
        <v>0.8</v>
      </c>
      <c r="E25" s="3">
        <f>328+81</f>
        <v>409</v>
      </c>
      <c r="F25" s="3" t="s">
        <v>9</v>
      </c>
      <c r="G25" s="3">
        <v>7</v>
      </c>
      <c r="H25" s="5">
        <v>0.45655438303947399</v>
      </c>
      <c r="I25" s="5">
        <v>0.42878395318984902</v>
      </c>
      <c r="J25" s="3">
        <v>-5.3229166666666599</v>
      </c>
      <c r="K25" s="5">
        <v>6.0729166666666599</v>
      </c>
      <c r="L25" s="3">
        <v>-4.9375</v>
      </c>
      <c r="M25" s="3">
        <v>6.875</v>
      </c>
      <c r="N25" s="3">
        <v>-10.2604166666666</v>
      </c>
      <c r="O25" s="5">
        <v>11.6979166666666</v>
      </c>
      <c r="P25" s="3">
        <v>-3.1556572380154198E-2</v>
      </c>
      <c r="Q25" s="5">
        <v>0.93003079051321202</v>
      </c>
      <c r="R25" s="3">
        <v>-5.2827380952380896</v>
      </c>
      <c r="S25" s="5">
        <v>7.15178571428571</v>
      </c>
      <c r="T25" s="3">
        <v>-8.3065476190476097</v>
      </c>
      <c r="U25" s="5">
        <v>10.1755952380952</v>
      </c>
      <c r="V25" s="3">
        <v>-13.589285714285699</v>
      </c>
      <c r="W25" s="5">
        <v>15.952380952380899</v>
      </c>
      <c r="X25" s="5">
        <v>0.52879911461612805</v>
      </c>
      <c r="Y25" s="5">
        <v>1.43306666738288</v>
      </c>
      <c r="Z25" s="3">
        <v>0.79909470196703802</v>
      </c>
      <c r="AA25" s="5">
        <v>0.80160011399948605</v>
      </c>
    </row>
    <row r="26" spans="1:27" x14ac:dyDescent="0.45">
      <c r="A26" s="3" t="s">
        <v>32</v>
      </c>
      <c r="B26" s="3">
        <v>3</v>
      </c>
      <c r="C26" s="3">
        <v>0.3</v>
      </c>
      <c r="D26" s="3">
        <v>0.8</v>
      </c>
      <c r="E26" s="3">
        <f t="shared" ref="E26:E35" si="2">328+81</f>
        <v>409</v>
      </c>
      <c r="F26" s="3" t="s">
        <v>9</v>
      </c>
      <c r="G26" s="3">
        <v>15</v>
      </c>
      <c r="H26" s="5">
        <v>0.40736615657806302</v>
      </c>
      <c r="I26" s="5">
        <v>0.37261360883712702</v>
      </c>
      <c r="J26" s="3">
        <v>-5</v>
      </c>
      <c r="K26" s="3">
        <v>5.8125</v>
      </c>
      <c r="L26" s="3">
        <v>-4.03125</v>
      </c>
      <c r="M26" s="5">
        <v>5.6145833333333304</v>
      </c>
      <c r="N26" s="3">
        <v>-9.03125</v>
      </c>
      <c r="O26" s="5">
        <v>10.3854166666666</v>
      </c>
      <c r="P26" s="3">
        <v>-0.13306336774946101</v>
      </c>
      <c r="Q26" s="5">
        <v>0.76104613821904898</v>
      </c>
      <c r="R26" s="3">
        <v>-6.1488095238095202</v>
      </c>
      <c r="S26" s="5">
        <v>7.2976190476190403</v>
      </c>
      <c r="T26" s="3">
        <v>-6.7738095238095202</v>
      </c>
      <c r="U26" s="5">
        <v>7.7380952380952301</v>
      </c>
      <c r="V26" s="3">
        <v>-12.922619047618999</v>
      </c>
      <c r="W26" s="5">
        <v>14.148809523809501</v>
      </c>
      <c r="X26" s="5">
        <v>0.113306732589266</v>
      </c>
      <c r="Y26" s="5">
        <v>0.89885002006805104</v>
      </c>
      <c r="Z26" s="5">
        <v>0.853625679991316</v>
      </c>
      <c r="AA26" s="5">
        <v>0.84763639754905995</v>
      </c>
    </row>
    <row r="27" spans="1:27" x14ac:dyDescent="0.45">
      <c r="A27" s="3" t="s">
        <v>32</v>
      </c>
      <c r="B27" s="3">
        <v>3</v>
      </c>
      <c r="C27" s="3">
        <v>0.3</v>
      </c>
      <c r="D27" s="3">
        <v>0.8</v>
      </c>
      <c r="E27" s="3">
        <f t="shared" si="2"/>
        <v>409</v>
      </c>
      <c r="F27" s="3" t="s">
        <v>9</v>
      </c>
      <c r="G27" s="3">
        <v>19</v>
      </c>
      <c r="H27" s="5">
        <v>0.38718655705451899</v>
      </c>
      <c r="I27" s="5">
        <v>0.34886413812637301</v>
      </c>
      <c r="J27" s="3">
        <v>-4.28125</v>
      </c>
      <c r="K27" s="5">
        <v>4.9479166666666599</v>
      </c>
      <c r="L27" s="3">
        <v>-5.40625</v>
      </c>
      <c r="M27" s="5">
        <v>6.8229166666666599</v>
      </c>
      <c r="N27" s="3">
        <v>-9.6875</v>
      </c>
      <c r="O27" s="5">
        <v>10.9791666666666</v>
      </c>
      <c r="P27" s="3">
        <v>-1.5024168486123601E-2</v>
      </c>
      <c r="Q27" s="5">
        <v>0.84117094126659397</v>
      </c>
      <c r="R27" s="3">
        <v>-5.0773809523809499</v>
      </c>
      <c r="S27" s="5">
        <v>6.2321428571428497</v>
      </c>
      <c r="T27" s="3">
        <v>-6.9702380952380896</v>
      </c>
      <c r="U27" s="5">
        <v>7.6904761904761898</v>
      </c>
      <c r="V27" s="3">
        <v>-12.047619047618999</v>
      </c>
      <c r="W27" s="5">
        <v>13.065476190476099</v>
      </c>
      <c r="X27" s="5">
        <v>0.273850608169735</v>
      </c>
      <c r="Y27" s="5">
        <v>0.88659137122439002</v>
      </c>
      <c r="Z27" s="5">
        <v>0.86595811402704803</v>
      </c>
      <c r="AA27" s="5">
        <v>0.86057017582232798</v>
      </c>
    </row>
    <row r="28" spans="1:27" x14ac:dyDescent="0.45">
      <c r="A28" s="3" t="s">
        <v>32</v>
      </c>
      <c r="B28" s="3">
        <v>3</v>
      </c>
      <c r="C28" s="3">
        <v>0.3</v>
      </c>
      <c r="D28" s="3">
        <v>0.8</v>
      </c>
      <c r="E28" s="3">
        <f t="shared" si="2"/>
        <v>409</v>
      </c>
      <c r="F28" s="3" t="s">
        <v>9</v>
      </c>
      <c r="G28" s="3">
        <v>21</v>
      </c>
      <c r="H28" s="5">
        <v>0.41150301694869901</v>
      </c>
      <c r="I28" s="5">
        <v>0.36187171936035101</v>
      </c>
      <c r="J28" s="3">
        <v>-4.65625</v>
      </c>
      <c r="K28" s="5">
        <v>5.1354166666666599</v>
      </c>
      <c r="L28" s="3">
        <v>-7.1354166666666599</v>
      </c>
      <c r="M28" s="5">
        <v>7.8020833333333304</v>
      </c>
      <c r="N28" s="3">
        <v>-11.7916666666666</v>
      </c>
      <c r="O28" s="5">
        <v>12.1458333333333</v>
      </c>
      <c r="P28" s="5">
        <v>0.41015625417400497</v>
      </c>
      <c r="Q28" s="5">
        <v>0.95516970690412495</v>
      </c>
      <c r="R28" s="3">
        <v>-6.875</v>
      </c>
      <c r="S28" s="5">
        <v>8.0416666666666607</v>
      </c>
      <c r="T28" s="3">
        <v>-7.8363095238095202</v>
      </c>
      <c r="U28" s="5">
        <v>8.7113095238095202</v>
      </c>
      <c r="V28" s="3">
        <v>-14.711309523809501</v>
      </c>
      <c r="W28" s="5">
        <v>16.1041666666666</v>
      </c>
      <c r="X28" s="5">
        <v>0.170768499647449</v>
      </c>
      <c r="Y28" s="5">
        <v>0.89384043836353899</v>
      </c>
      <c r="Z28" s="5">
        <v>0.87189707440047004</v>
      </c>
      <c r="AA28" s="5">
        <v>0.85346458626921895</v>
      </c>
    </row>
    <row r="29" spans="1:27" x14ac:dyDescent="0.45">
      <c r="A29" s="3" t="s">
        <v>32</v>
      </c>
      <c r="B29" s="3">
        <v>3</v>
      </c>
      <c r="C29" s="3">
        <v>0.3</v>
      </c>
      <c r="D29" s="3">
        <v>0.8</v>
      </c>
      <c r="E29" s="3">
        <f t="shared" si="2"/>
        <v>409</v>
      </c>
      <c r="F29" s="3" t="s">
        <v>9</v>
      </c>
      <c r="G29" s="3">
        <v>23</v>
      </c>
      <c r="H29" s="5">
        <v>0.37822344899177501</v>
      </c>
      <c r="I29" s="5">
        <v>0.36047846078872597</v>
      </c>
      <c r="J29" s="3">
        <v>-5.5416666666666599</v>
      </c>
      <c r="K29" s="5">
        <v>6.0416666666666599</v>
      </c>
      <c r="L29" s="3">
        <v>-6.8958333333333304</v>
      </c>
      <c r="M29" s="3">
        <v>8</v>
      </c>
      <c r="N29" s="3">
        <v>-12.4375</v>
      </c>
      <c r="O29" s="5">
        <v>13.2916666666666</v>
      </c>
      <c r="P29" s="3">
        <v>9.8328945340395699E-2</v>
      </c>
      <c r="Q29" s="5">
        <v>0.93669754469411504</v>
      </c>
      <c r="R29" s="3">
        <v>-5.5982142857142803</v>
      </c>
      <c r="S29" s="5">
        <v>6.6934523809523796</v>
      </c>
      <c r="T29" s="3">
        <v>-7.0952380952380896</v>
      </c>
      <c r="U29" s="5">
        <v>8.1785714285714199</v>
      </c>
      <c r="V29" s="3">
        <v>-12.6934523809523</v>
      </c>
      <c r="W29" s="5">
        <v>14.157738095238001</v>
      </c>
      <c r="X29" s="5">
        <v>0.19283672521675199</v>
      </c>
      <c r="Y29" s="5">
        <v>0.85904458884952495</v>
      </c>
      <c r="Z29" s="5">
        <v>0.86529897195874095</v>
      </c>
      <c r="AA29" s="3">
        <v>0.85746678912966701</v>
      </c>
    </row>
    <row r="30" spans="1:27" x14ac:dyDescent="0.45">
      <c r="A30" s="3" t="s">
        <v>32</v>
      </c>
      <c r="B30" s="3">
        <v>3</v>
      </c>
      <c r="C30" s="3">
        <v>0.3</v>
      </c>
      <c r="D30" s="3">
        <v>0.8</v>
      </c>
      <c r="E30" s="3">
        <f t="shared" si="2"/>
        <v>409</v>
      </c>
      <c r="F30" s="3" t="s">
        <v>9</v>
      </c>
      <c r="G30" s="3">
        <v>24</v>
      </c>
      <c r="H30" s="5">
        <v>0.38170164823532099</v>
      </c>
      <c r="I30" s="5">
        <v>0.406019687652587</v>
      </c>
      <c r="J30" s="3">
        <v>-3.6875</v>
      </c>
      <c r="K30" s="5">
        <v>4.3541666666666599</v>
      </c>
      <c r="L30" s="3">
        <v>-3.8854166666666599</v>
      </c>
      <c r="M30" s="5">
        <v>5.0520833333333304</v>
      </c>
      <c r="N30" s="3">
        <v>-7.5729166666666599</v>
      </c>
      <c r="O30" s="5">
        <v>8.5729166666666607</v>
      </c>
      <c r="P30" s="5">
        <v>4.7026579342882902E-2</v>
      </c>
      <c r="Q30" s="5">
        <v>0.67423477047439595</v>
      </c>
      <c r="R30" s="3">
        <v>-6.1428571428571397</v>
      </c>
      <c r="S30" s="5">
        <v>7.2738095238095202</v>
      </c>
      <c r="T30" s="3">
        <v>-6.4375</v>
      </c>
      <c r="U30" s="5">
        <v>7.52678571428571</v>
      </c>
      <c r="V30" s="3">
        <v>-12.5803571428571</v>
      </c>
      <c r="W30" s="3">
        <v>13.5625</v>
      </c>
      <c r="X30" s="5">
        <v>0.157512138734309</v>
      </c>
      <c r="Y30" s="5">
        <v>0.96875661352169395</v>
      </c>
      <c r="Z30" s="5">
        <v>0.827616868122656</v>
      </c>
      <c r="AA30" s="5">
        <v>0.84383550577431998</v>
      </c>
    </row>
    <row r="31" spans="1:27" x14ac:dyDescent="0.45">
      <c r="A31" s="3" t="s">
        <v>32</v>
      </c>
      <c r="B31" s="3">
        <v>3</v>
      </c>
      <c r="C31" s="3">
        <v>0.3</v>
      </c>
      <c r="D31" s="3">
        <v>0.8</v>
      </c>
      <c r="E31" s="3">
        <f t="shared" si="2"/>
        <v>409</v>
      </c>
      <c r="F31" s="3" t="s">
        <v>9</v>
      </c>
      <c r="G31" s="3">
        <v>25</v>
      </c>
      <c r="H31" s="5">
        <v>0.38589140772819502</v>
      </c>
      <c r="I31" s="5">
        <v>0.39311605691909701</v>
      </c>
      <c r="J31" s="3">
        <v>-4.6770833333333304</v>
      </c>
      <c r="K31" s="3">
        <v>5.46875</v>
      </c>
      <c r="L31" s="3">
        <v>-8.625</v>
      </c>
      <c r="M31" s="5">
        <v>9.0208333333333304</v>
      </c>
      <c r="N31" s="3">
        <v>-13.3020833333333</v>
      </c>
      <c r="O31" s="5">
        <v>13.6770833333333</v>
      </c>
      <c r="P31" s="5">
        <v>0.68500553617945104</v>
      </c>
      <c r="Q31" s="5">
        <v>1.0491263670684701</v>
      </c>
      <c r="R31" s="3">
        <v>-5.2946428571428497</v>
      </c>
      <c r="S31" s="5">
        <v>6.40178571428571</v>
      </c>
      <c r="T31" s="3">
        <v>-6.4672619047618998</v>
      </c>
      <c r="U31" s="5">
        <v>7.4613095238095202</v>
      </c>
      <c r="V31" s="3">
        <v>-11.761904761904701</v>
      </c>
      <c r="W31" s="5">
        <v>13.1964285714285</v>
      </c>
      <c r="X31" s="5">
        <v>0.20738448598869699</v>
      </c>
      <c r="Y31" s="5">
        <v>0.73466645539802899</v>
      </c>
      <c r="Z31" s="5">
        <v>0.862438756980758</v>
      </c>
      <c r="AA31" s="5">
        <v>0.86439290705456795</v>
      </c>
    </row>
    <row r="32" spans="1:27" x14ac:dyDescent="0.45">
      <c r="A32" s="3" t="s">
        <v>32</v>
      </c>
      <c r="B32" s="3">
        <v>3</v>
      </c>
      <c r="C32" s="3">
        <v>0.3</v>
      </c>
      <c r="D32" s="3">
        <v>0.8</v>
      </c>
      <c r="E32" s="3">
        <f t="shared" si="2"/>
        <v>409</v>
      </c>
      <c r="F32" s="3" t="s">
        <v>9</v>
      </c>
      <c r="G32" s="3">
        <v>26</v>
      </c>
      <c r="H32" s="5">
        <v>0.38542518019676197</v>
      </c>
      <c r="I32" s="5">
        <v>0.37180465459823597</v>
      </c>
      <c r="J32" s="3">
        <v>-3.9375</v>
      </c>
      <c r="K32" s="3">
        <v>4.625</v>
      </c>
      <c r="L32" s="3">
        <v>-4.9583333333333304</v>
      </c>
      <c r="M32" s="3">
        <v>5.9375</v>
      </c>
      <c r="N32" s="3">
        <v>-8.8958333333333304</v>
      </c>
      <c r="O32" s="3">
        <v>9.6875</v>
      </c>
      <c r="P32" s="5">
        <v>0.120657549439325</v>
      </c>
      <c r="Q32" s="3">
        <v>0.83922728571299299</v>
      </c>
      <c r="R32" s="3">
        <v>-6.2261904761904701</v>
      </c>
      <c r="S32" s="5">
        <v>7.0297619047618998</v>
      </c>
      <c r="T32" s="3">
        <v>-6.2261904761904701</v>
      </c>
      <c r="U32" s="5">
        <v>7.4226190476190403</v>
      </c>
      <c r="V32" s="3">
        <v>-12.452380952380899</v>
      </c>
      <c r="W32" s="5">
        <v>13.7678571428571</v>
      </c>
      <c r="X32" s="3">
        <v>5.89120444667486E-3</v>
      </c>
      <c r="Y32" s="5">
        <v>0.71873854069518395</v>
      </c>
      <c r="Z32" s="5">
        <v>0.86474713218021604</v>
      </c>
      <c r="AA32" s="5">
        <v>0.86057078702305201</v>
      </c>
    </row>
    <row r="33" spans="1:27" x14ac:dyDescent="0.45">
      <c r="A33" s="3" t="s">
        <v>32</v>
      </c>
      <c r="B33" s="3">
        <v>3</v>
      </c>
      <c r="C33" s="3">
        <v>0.3</v>
      </c>
      <c r="D33" s="3">
        <v>0.8</v>
      </c>
      <c r="E33" s="3">
        <f t="shared" si="2"/>
        <v>409</v>
      </c>
      <c r="F33" s="3" t="s">
        <v>9</v>
      </c>
      <c r="G33" s="3">
        <v>27</v>
      </c>
      <c r="H33" s="5">
        <v>0.392074584960937</v>
      </c>
      <c r="I33" s="5">
        <v>0.38580951094627303</v>
      </c>
      <c r="J33" s="3">
        <v>-4.9270833333333304</v>
      </c>
      <c r="K33" s="5">
        <v>5.5729166666666599</v>
      </c>
      <c r="L33" s="3">
        <v>-5.8125</v>
      </c>
      <c r="M33" s="3">
        <v>6.6875</v>
      </c>
      <c r="N33" s="3">
        <v>-10.7395833333333</v>
      </c>
      <c r="O33" s="5">
        <v>11.3854166666666</v>
      </c>
      <c r="P33" s="5">
        <v>0.121713464990838</v>
      </c>
      <c r="Q33" s="5">
        <v>0.81485582105195797</v>
      </c>
      <c r="R33" s="3">
        <v>-5.8422619047618998</v>
      </c>
      <c r="S33" s="5">
        <v>6.8363095238095202</v>
      </c>
      <c r="T33" s="3">
        <v>-6.7172619047618998</v>
      </c>
      <c r="U33" s="5">
        <v>7.4910714285714199</v>
      </c>
      <c r="V33" s="3">
        <v>-12.5595238095238</v>
      </c>
      <c r="W33" s="3">
        <v>13.625</v>
      </c>
      <c r="X33" s="5">
        <v>0.144041705603007</v>
      </c>
      <c r="Y33" s="5">
        <v>0.78932269707865199</v>
      </c>
      <c r="Z33" s="5">
        <v>0.86567909553931099</v>
      </c>
      <c r="AA33" s="5">
        <v>0.84806926870343002</v>
      </c>
    </row>
    <row r="34" spans="1:27" x14ac:dyDescent="0.45">
      <c r="A34" s="3" t="s">
        <v>32</v>
      </c>
      <c r="B34" s="3">
        <v>3</v>
      </c>
      <c r="C34" s="3">
        <v>0.3</v>
      </c>
      <c r="D34" s="3">
        <v>0.8</v>
      </c>
      <c r="E34" s="3">
        <f t="shared" si="2"/>
        <v>409</v>
      </c>
      <c r="F34" s="3" t="s">
        <v>9</v>
      </c>
      <c r="G34" s="3">
        <v>29</v>
      </c>
      <c r="H34" s="5">
        <v>0.37378588318824701</v>
      </c>
      <c r="I34" s="5">
        <v>0.36862391233444203</v>
      </c>
      <c r="J34" s="3">
        <v>-4.9375</v>
      </c>
      <c r="K34" s="3">
        <v>5.3125</v>
      </c>
      <c r="L34" s="3">
        <v>-4.9479166666666599</v>
      </c>
      <c r="M34" s="5">
        <v>5.9479166666666599</v>
      </c>
      <c r="N34" s="3">
        <v>-9.8854166666666607</v>
      </c>
      <c r="O34" s="3">
        <v>10.34375</v>
      </c>
      <c r="P34" s="5">
        <v>1.47494668551753E-2</v>
      </c>
      <c r="Q34" s="5">
        <v>0.74966822937641797</v>
      </c>
      <c r="R34" s="3">
        <v>-6.1101190476190403</v>
      </c>
      <c r="S34" s="5">
        <v>7.0982142857142803</v>
      </c>
      <c r="T34" s="3">
        <v>-6.1130952380952301</v>
      </c>
      <c r="U34" s="5">
        <v>7.2678571428571397</v>
      </c>
      <c r="V34" s="3">
        <v>-12.223214285714199</v>
      </c>
      <c r="W34" s="5">
        <v>13.4553571428571</v>
      </c>
      <c r="X34" s="3">
        <v>1.2905658324401799E-2</v>
      </c>
      <c r="Y34" s="5">
        <v>0.82775209866992905</v>
      </c>
      <c r="Z34" s="5">
        <v>0.84228773801379297</v>
      </c>
      <c r="AA34" s="5">
        <v>0.84782512036753199</v>
      </c>
    </row>
    <row r="35" spans="1:27" x14ac:dyDescent="0.45">
      <c r="A35" s="3" t="s">
        <v>32</v>
      </c>
      <c r="B35" s="3">
        <v>3</v>
      </c>
      <c r="C35" s="3">
        <v>0.3</v>
      </c>
      <c r="D35" s="3">
        <v>0.8</v>
      </c>
      <c r="E35" s="3">
        <f t="shared" si="2"/>
        <v>409</v>
      </c>
      <c r="F35" s="3" t="s">
        <v>9</v>
      </c>
      <c r="G35" s="3">
        <v>30</v>
      </c>
      <c r="H35" s="5">
        <v>0.36115214228629999</v>
      </c>
      <c r="I35" s="5">
        <v>0.38545727729797302</v>
      </c>
      <c r="J35" s="3">
        <v>-4.2708333333333304</v>
      </c>
      <c r="K35" s="5">
        <v>4.8333333333333304</v>
      </c>
      <c r="L35" s="3">
        <v>-4.53125</v>
      </c>
      <c r="M35" s="5">
        <v>5.5104166666666599</v>
      </c>
      <c r="N35" s="3">
        <v>-8.8020833333333304</v>
      </c>
      <c r="O35" s="5">
        <v>9.4895833333333304</v>
      </c>
      <c r="P35" s="3">
        <v>6.0045553433713999E-3</v>
      </c>
      <c r="Q35" s="5">
        <v>0.78546283839785203</v>
      </c>
      <c r="R35" s="3">
        <v>-5.1607142857142803</v>
      </c>
      <c r="S35" s="5">
        <v>6.2619047619047601</v>
      </c>
      <c r="T35" s="3">
        <v>-6.4107142857142803</v>
      </c>
      <c r="U35" s="5">
        <v>7.2083333333333304</v>
      </c>
      <c r="V35" s="3">
        <v>-11.5714285714285</v>
      </c>
      <c r="W35" s="3">
        <v>12.625</v>
      </c>
      <c r="X35" s="5">
        <v>0.25399648227733201</v>
      </c>
      <c r="Y35" s="5">
        <v>0.76921202109098297</v>
      </c>
      <c r="Z35" s="5">
        <v>0.82728280755704198</v>
      </c>
      <c r="AA35" s="5">
        <v>0.82678261125145502</v>
      </c>
    </row>
    <row r="36" spans="1:27" x14ac:dyDescent="0.45">
      <c r="A36" s="3" t="s">
        <v>33</v>
      </c>
      <c r="B36" s="3">
        <v>4</v>
      </c>
      <c r="C36" s="3">
        <v>0.3</v>
      </c>
      <c r="D36" s="3">
        <v>0.15</v>
      </c>
      <c r="E36" s="3">
        <v>409</v>
      </c>
      <c r="F36" s="3" t="s">
        <v>9</v>
      </c>
      <c r="G36" s="3">
        <v>9</v>
      </c>
      <c r="H36" s="5">
        <v>0.444699436426162</v>
      </c>
      <c r="I36" s="5">
        <v>0.417361229658126</v>
      </c>
      <c r="J36" s="5">
        <v>3.9270833333333299</v>
      </c>
      <c r="K36" s="3">
        <v>6.34375</v>
      </c>
      <c r="L36" s="3">
        <v>0.3125</v>
      </c>
      <c r="M36" s="5">
        <v>6.1458333333333304</v>
      </c>
      <c r="N36" s="5">
        <v>4.2395833333333304</v>
      </c>
      <c r="O36" s="5">
        <v>9.9895833333333304</v>
      </c>
      <c r="P36" s="3">
        <v>9.5194521431071197E-2</v>
      </c>
      <c r="Q36" s="5">
        <v>1.5400833936813301</v>
      </c>
      <c r="R36" s="5">
        <v>5.4434523809523796</v>
      </c>
      <c r="S36" s="5">
        <v>9.65178571428571</v>
      </c>
      <c r="T36" s="3">
        <v>-0.163690476190476</v>
      </c>
      <c r="U36" s="5">
        <v>6.6755952380952301</v>
      </c>
      <c r="V36" s="5">
        <v>5.2797619047618998</v>
      </c>
      <c r="W36" s="5">
        <v>13.4285714285714</v>
      </c>
      <c r="X36" s="5">
        <v>0.75771863257308603</v>
      </c>
      <c r="Y36" s="5">
        <v>1.8562350373748999</v>
      </c>
      <c r="Z36" s="5">
        <v>0.83028810406654296</v>
      </c>
      <c r="AA36" s="5">
        <v>0.82430043073505899</v>
      </c>
    </row>
    <row r="37" spans="1:27" x14ac:dyDescent="0.45">
      <c r="A37" s="3" t="s">
        <v>33</v>
      </c>
      <c r="B37" s="3">
        <v>4</v>
      </c>
      <c r="C37" s="3">
        <v>0.3</v>
      </c>
      <c r="D37" s="3">
        <v>0.15</v>
      </c>
      <c r="E37" s="3">
        <v>409</v>
      </c>
      <c r="F37" s="3" t="s">
        <v>9</v>
      </c>
      <c r="G37" s="3">
        <v>12</v>
      </c>
      <c r="H37" s="5">
        <v>0.43179777264594998</v>
      </c>
      <c r="I37" s="5">
        <v>0.40473648905754001</v>
      </c>
      <c r="J37" s="5">
        <v>1.8020833333333299</v>
      </c>
      <c r="K37" s="5">
        <v>5.1979166666666599</v>
      </c>
      <c r="L37" s="5">
        <v>0.55208333333333304</v>
      </c>
      <c r="M37" s="5">
        <v>5.0729166666666599</v>
      </c>
      <c r="N37" s="5">
        <v>2.3541666666666599</v>
      </c>
      <c r="O37" s="5">
        <v>8.5208333333333304</v>
      </c>
      <c r="P37" s="3">
        <v>-4.2866551101371303E-2</v>
      </c>
      <c r="Q37" s="5">
        <v>1.11698804467255</v>
      </c>
      <c r="R37" s="5">
        <v>0.82440476190476097</v>
      </c>
      <c r="S37" s="5">
        <v>6.6577380952380896</v>
      </c>
      <c r="T37" s="3">
        <v>1.5</v>
      </c>
      <c r="U37" s="5">
        <v>6.8333333333333304</v>
      </c>
      <c r="V37" s="5">
        <v>2.3244047619047601</v>
      </c>
      <c r="W37" s="5">
        <v>12.2708333333333</v>
      </c>
      <c r="X37" s="3">
        <v>-0.32188506268027001</v>
      </c>
      <c r="Y37" s="5">
        <v>1.2997440274671701</v>
      </c>
      <c r="Z37" s="5">
        <v>0.84719768972754705</v>
      </c>
      <c r="AA37" s="5">
        <v>0.84104919893518004</v>
      </c>
    </row>
    <row r="38" spans="1:27" x14ac:dyDescent="0.45">
      <c r="A38" s="3" t="s">
        <v>33</v>
      </c>
      <c r="B38" s="3">
        <v>4</v>
      </c>
      <c r="C38" s="3">
        <v>0.3</v>
      </c>
      <c r="D38" s="3">
        <v>0.15</v>
      </c>
      <c r="E38" s="3">
        <v>409</v>
      </c>
      <c r="F38" s="3" t="s">
        <v>9</v>
      </c>
      <c r="G38" s="3">
        <v>16</v>
      </c>
      <c r="H38" s="5">
        <v>0.39029812812805098</v>
      </c>
      <c r="I38" s="5">
        <v>0.370029807090759</v>
      </c>
      <c r="J38" s="3">
        <v>-1.3229166666666601</v>
      </c>
      <c r="K38" s="3">
        <v>5.34375</v>
      </c>
      <c r="L38" s="3">
        <v>-1.9375</v>
      </c>
      <c r="M38" s="5">
        <v>6.8541666666666599</v>
      </c>
      <c r="N38" s="3">
        <v>-3.2604166666666599</v>
      </c>
      <c r="O38" s="5">
        <v>10.5729166666666</v>
      </c>
      <c r="P38" s="3">
        <v>-0.229701126974587</v>
      </c>
      <c r="Q38" s="3">
        <v>1.0911284386688</v>
      </c>
      <c r="R38" s="3">
        <v>-4.1666666666666602E-2</v>
      </c>
      <c r="S38" s="5">
        <v>6.58928571428571</v>
      </c>
      <c r="T38" s="3">
        <v>-0.38690476190476097</v>
      </c>
      <c r="U38" s="5">
        <v>7.8690476190476097</v>
      </c>
      <c r="V38" s="3">
        <v>-0.42857142857142799</v>
      </c>
      <c r="W38" s="5">
        <v>12.398809523809501</v>
      </c>
      <c r="X38" s="3">
        <v>-0.13034375519746499</v>
      </c>
      <c r="Y38" s="5">
        <v>1.2879765898987201</v>
      </c>
      <c r="Z38" s="5">
        <v>0.85772150249253598</v>
      </c>
      <c r="AA38" s="5">
        <v>0.83469790346863604</v>
      </c>
    </row>
    <row r="39" spans="1:27" x14ac:dyDescent="0.45">
      <c r="A39" s="3" t="s">
        <v>33</v>
      </c>
      <c r="B39" s="3">
        <v>4</v>
      </c>
      <c r="C39" s="3">
        <v>0.3</v>
      </c>
      <c r="D39" s="3">
        <v>0.15</v>
      </c>
      <c r="E39" s="3">
        <v>409</v>
      </c>
      <c r="F39" s="3" t="s">
        <v>9</v>
      </c>
      <c r="G39" s="3">
        <v>18</v>
      </c>
      <c r="H39" s="5">
        <v>0.39794871211051902</v>
      </c>
      <c r="I39" s="5">
        <v>0.37749725580215399</v>
      </c>
      <c r="J39" s="5">
        <v>2.8333333333333299</v>
      </c>
      <c r="K39" s="5">
        <v>4.8333333333333304</v>
      </c>
      <c r="L39" s="3">
        <v>2.09375</v>
      </c>
      <c r="M39" s="5">
        <v>5.9479166666666599</v>
      </c>
      <c r="N39" s="5">
        <v>4.9270833333333304</v>
      </c>
      <c r="O39" s="3">
        <v>9.53125</v>
      </c>
      <c r="P39" s="3">
        <v>-0.40757873725188098</v>
      </c>
      <c r="Q39" s="5">
        <v>1.2852828871561099</v>
      </c>
      <c r="R39" s="3">
        <v>-0.79464285714285698</v>
      </c>
      <c r="S39" s="5">
        <v>6.0029761904761898</v>
      </c>
      <c r="T39" s="5">
        <v>2.7291666666666599</v>
      </c>
      <c r="U39" s="5">
        <v>7.4315476190476097</v>
      </c>
      <c r="V39" s="5">
        <v>1.9345238095238</v>
      </c>
      <c r="W39" s="5">
        <v>11.994047619047601</v>
      </c>
      <c r="X39" s="3">
        <v>-0.78922105852014701</v>
      </c>
      <c r="Y39" s="5">
        <v>1.2201707364827099</v>
      </c>
      <c r="Z39" s="5">
        <v>0.86391799424410598</v>
      </c>
      <c r="AA39" s="5">
        <v>0.84098235974967095</v>
      </c>
    </row>
    <row r="40" spans="1:27" x14ac:dyDescent="0.45">
      <c r="A40" s="3" t="s">
        <v>33</v>
      </c>
      <c r="B40" s="3">
        <v>4</v>
      </c>
      <c r="C40" s="3">
        <v>0.3</v>
      </c>
      <c r="D40" s="3">
        <v>0.15</v>
      </c>
      <c r="E40" s="3">
        <v>409</v>
      </c>
      <c r="F40" s="3" t="s">
        <v>9</v>
      </c>
      <c r="G40" s="3">
        <v>22</v>
      </c>
      <c r="H40" s="5">
        <v>0.409977316856384</v>
      </c>
      <c r="I40" s="5">
        <v>0.37605127692222501</v>
      </c>
      <c r="J40" s="3">
        <v>-2.9895833333333299</v>
      </c>
      <c r="K40" s="5">
        <v>5.4895833333333304</v>
      </c>
      <c r="L40" s="5">
        <v>1.0833333333333299</v>
      </c>
      <c r="M40" s="5">
        <v>7.6041666666666599</v>
      </c>
      <c r="N40" s="3">
        <v>-1.90625</v>
      </c>
      <c r="O40" s="5">
        <v>10.9479166666666</v>
      </c>
      <c r="P40" s="3">
        <v>-1.0294712014345</v>
      </c>
      <c r="Q40" s="5">
        <v>1.4173617492839601</v>
      </c>
      <c r="R40" s="3">
        <v>-0.90178571428571397</v>
      </c>
      <c r="S40" s="5">
        <v>5.9970238095238004</v>
      </c>
      <c r="T40" s="5">
        <v>0.226190476190476</v>
      </c>
      <c r="U40" s="5">
        <v>7.1190476190476097</v>
      </c>
      <c r="V40" s="3">
        <v>-0.67559523809523803</v>
      </c>
      <c r="W40" s="3">
        <v>12.1875</v>
      </c>
      <c r="X40" s="3">
        <v>-0.40189296755745402</v>
      </c>
      <c r="Y40" s="5">
        <v>1.0547055486669901</v>
      </c>
      <c r="Z40" s="5">
        <v>0.86280480372268498</v>
      </c>
      <c r="AA40" s="5">
        <v>0.83054828814704595</v>
      </c>
    </row>
    <row r="41" spans="1:27" x14ac:dyDescent="0.45">
      <c r="A41" s="3" t="s">
        <v>33</v>
      </c>
      <c r="B41" s="3">
        <v>4</v>
      </c>
      <c r="C41" s="3">
        <v>0.3</v>
      </c>
      <c r="D41" s="3">
        <v>0.15</v>
      </c>
      <c r="E41" s="3">
        <v>409</v>
      </c>
      <c r="F41" s="3" t="s">
        <v>9</v>
      </c>
      <c r="G41" s="3">
        <v>24</v>
      </c>
      <c r="H41" s="5">
        <v>0.37782743573188698</v>
      </c>
      <c r="I41" s="5">
        <v>0.36264216899871798</v>
      </c>
      <c r="J41" s="5">
        <v>1.8645833333333299</v>
      </c>
      <c r="K41" s="3">
        <v>4.46875</v>
      </c>
      <c r="L41" s="5">
        <v>0.48958333333333298</v>
      </c>
      <c r="M41" s="3">
        <v>5.15625</v>
      </c>
      <c r="N41" s="5">
        <v>2.3541666666666599</v>
      </c>
      <c r="O41" s="3">
        <v>8.5</v>
      </c>
      <c r="P41" s="3">
        <v>-2.2991539195117101E-2</v>
      </c>
      <c r="Q41" s="5">
        <v>1.0479403369407501</v>
      </c>
      <c r="R41" s="5">
        <v>0.20833333333333301</v>
      </c>
      <c r="S41" s="5">
        <v>5.7261904761904701</v>
      </c>
      <c r="T41" s="5">
        <v>1.0148809523809501</v>
      </c>
      <c r="U41" s="5">
        <v>6.0684523809523796</v>
      </c>
      <c r="V41" s="5">
        <v>1.22321428571428</v>
      </c>
      <c r="W41" s="5">
        <v>10.901785714285699</v>
      </c>
      <c r="X41" s="3">
        <v>5.7075166687617203E-2</v>
      </c>
      <c r="Y41" s="5">
        <v>1.27716949302654</v>
      </c>
      <c r="Z41" s="5">
        <v>0.85656718610246996</v>
      </c>
      <c r="AA41" s="5">
        <v>0.84330662495998798</v>
      </c>
    </row>
    <row r="42" spans="1:27" x14ac:dyDescent="0.45">
      <c r="A42" s="3" t="s">
        <v>33</v>
      </c>
      <c r="B42" s="3">
        <v>4</v>
      </c>
      <c r="C42" s="3">
        <v>0.3</v>
      </c>
      <c r="D42" s="3">
        <v>0.15</v>
      </c>
      <c r="E42" s="3">
        <v>409</v>
      </c>
      <c r="F42" s="3" t="s">
        <v>9</v>
      </c>
      <c r="G42" s="3">
        <v>25</v>
      </c>
      <c r="H42" s="5">
        <v>0.38553351163864102</v>
      </c>
      <c r="I42" s="5">
        <v>0.359244674444198</v>
      </c>
      <c r="J42" s="5">
        <v>0.98958333333333304</v>
      </c>
      <c r="K42" s="3">
        <v>4.21875</v>
      </c>
      <c r="L42" s="5">
        <v>1.6666666666666601</v>
      </c>
      <c r="M42" s="5">
        <v>5.0208333333333304</v>
      </c>
      <c r="N42" s="3">
        <v>2.65625</v>
      </c>
      <c r="O42" s="5">
        <v>8.3854166666666607</v>
      </c>
      <c r="P42" s="3">
        <v>-0.45547870080790098</v>
      </c>
      <c r="Q42" s="5">
        <v>0.98421502461787203</v>
      </c>
      <c r="R42" s="3">
        <v>-9.2261904761904698E-2</v>
      </c>
      <c r="S42" s="5">
        <v>6.1220238095238004</v>
      </c>
      <c r="T42" s="5">
        <v>0.327380952380952</v>
      </c>
      <c r="U42" s="5">
        <v>5.7202380952380896</v>
      </c>
      <c r="V42" s="5">
        <v>0.23511904761904701</v>
      </c>
      <c r="W42" s="5">
        <v>10.961309523809501</v>
      </c>
      <c r="X42" s="3">
        <v>-6.9961528662042097E-2</v>
      </c>
      <c r="Y42" s="5">
        <v>0.91455449593772897</v>
      </c>
      <c r="Z42" s="5">
        <v>0.85583624526054403</v>
      </c>
      <c r="AA42" s="5">
        <v>0.84534802226769401</v>
      </c>
    </row>
    <row r="43" spans="1:27" x14ac:dyDescent="0.45">
      <c r="A43" s="3" t="s">
        <v>33</v>
      </c>
      <c r="B43" s="3">
        <v>4</v>
      </c>
      <c r="C43" s="3">
        <v>0.3</v>
      </c>
      <c r="D43" s="3">
        <v>0.15</v>
      </c>
      <c r="E43" s="3">
        <v>409</v>
      </c>
      <c r="F43" s="3" t="s">
        <v>9</v>
      </c>
      <c r="G43" s="3">
        <v>26</v>
      </c>
      <c r="H43" s="5">
        <v>0.36398622393607999</v>
      </c>
      <c r="I43" s="5">
        <v>0.36962530016899098</v>
      </c>
      <c r="J43" s="3">
        <v>2.78125</v>
      </c>
      <c r="K43" s="5">
        <v>5.8854166666666599</v>
      </c>
      <c r="L43" s="5">
        <v>1.1145833333333299</v>
      </c>
      <c r="M43" s="5">
        <v>7.09375</v>
      </c>
      <c r="N43" s="5">
        <v>3.8958333333333299</v>
      </c>
      <c r="O43" s="5">
        <v>11.4375</v>
      </c>
      <c r="P43" s="3">
        <v>-8.1511485482462703E-2</v>
      </c>
      <c r="Q43" s="5">
        <v>1.2108617024560899</v>
      </c>
      <c r="R43" s="3">
        <v>-1.2797619047619</v>
      </c>
      <c r="S43" s="5">
        <v>5.9821428571428497</v>
      </c>
      <c r="T43" s="3">
        <v>-1.8839285714285701</v>
      </c>
      <c r="U43" s="5">
        <v>7.5029761904761898</v>
      </c>
      <c r="V43" s="3">
        <v>-3.1636904761904701</v>
      </c>
      <c r="W43" s="5">
        <v>12.586309523809501</v>
      </c>
      <c r="X43" s="5">
        <v>3.1522255354612901E-2</v>
      </c>
      <c r="Y43" s="5">
        <v>1.1342280135074301</v>
      </c>
      <c r="Z43" s="5">
        <v>0.84546900701275995</v>
      </c>
      <c r="AA43" s="5">
        <v>0.82549331756395505</v>
      </c>
    </row>
    <row r="44" spans="1:27" x14ac:dyDescent="0.45">
      <c r="A44" s="3" t="s">
        <v>33</v>
      </c>
      <c r="B44" s="3">
        <v>4</v>
      </c>
      <c r="C44" s="3">
        <v>0.3</v>
      </c>
      <c r="D44" s="3">
        <v>0.15</v>
      </c>
      <c r="E44" s="3">
        <v>409</v>
      </c>
      <c r="F44" s="3" t="s">
        <v>9</v>
      </c>
      <c r="G44" s="3">
        <v>27</v>
      </c>
      <c r="H44" s="5">
        <v>0.36916863918304399</v>
      </c>
      <c r="I44" s="5">
        <v>0.40083989500999401</v>
      </c>
      <c r="J44" s="5">
        <v>1.7916666666666601</v>
      </c>
      <c r="K44" s="5">
        <v>4.8333333333333304</v>
      </c>
      <c r="L44" s="5">
        <v>1.4791666666666601</v>
      </c>
      <c r="M44" s="5">
        <v>5.7916666666666599</v>
      </c>
      <c r="N44" s="5">
        <v>3.2708333333333299</v>
      </c>
      <c r="O44" s="3">
        <v>8.875</v>
      </c>
      <c r="P44" s="3">
        <v>-0.237834237125301</v>
      </c>
      <c r="Q44" s="5">
        <v>1.0110488408675899</v>
      </c>
      <c r="R44" s="5">
        <v>1.8095238095238</v>
      </c>
      <c r="S44" s="5">
        <v>6.8214285714285703</v>
      </c>
      <c r="T44" s="3">
        <v>-0.61607142857142805</v>
      </c>
      <c r="U44" s="3">
        <v>6.4375</v>
      </c>
      <c r="V44" s="5">
        <v>1.19345238095238</v>
      </c>
      <c r="W44" s="3">
        <v>12.1875</v>
      </c>
      <c r="X44" s="5">
        <v>0.31510064942655402</v>
      </c>
      <c r="Y44" s="5">
        <v>1.24529326860144</v>
      </c>
      <c r="Z44" s="5">
        <v>0.83003869715229095</v>
      </c>
      <c r="AA44" s="5">
        <v>0.81290968678553299</v>
      </c>
    </row>
    <row r="45" spans="1:27" x14ac:dyDescent="0.45">
      <c r="A45" s="3" t="s">
        <v>33</v>
      </c>
      <c r="B45" s="3">
        <v>4</v>
      </c>
      <c r="C45" s="3">
        <v>0.3</v>
      </c>
      <c r="D45" s="3">
        <v>0.15</v>
      </c>
      <c r="E45" s="3">
        <v>409</v>
      </c>
      <c r="F45" s="3" t="s">
        <v>9</v>
      </c>
      <c r="G45" s="3">
        <v>29</v>
      </c>
      <c r="H45" s="5">
        <v>0.35892489552497803</v>
      </c>
      <c r="I45" s="5">
        <v>0.35454058647155701</v>
      </c>
      <c r="J45" s="3">
        <v>-2.0833333333333301E-2</v>
      </c>
      <c r="K45" s="5">
        <v>4.3541666666666599</v>
      </c>
      <c r="L45" s="3">
        <v>0.5</v>
      </c>
      <c r="M45" s="3">
        <v>5.5</v>
      </c>
      <c r="N45" s="5">
        <v>0.47916666666666602</v>
      </c>
      <c r="O45" s="5">
        <v>8.3958333333333304</v>
      </c>
      <c r="P45" s="3">
        <v>-0.46301572880480901</v>
      </c>
      <c r="Q45" s="5">
        <v>1.0835445975739799</v>
      </c>
      <c r="R45" s="3">
        <v>-0.19345238095237999</v>
      </c>
      <c r="S45" s="5">
        <v>5.6279761904761898</v>
      </c>
      <c r="T45" s="5">
        <v>0.65178571428571397</v>
      </c>
      <c r="U45" s="5">
        <v>6.4255952380952301</v>
      </c>
      <c r="V45" s="5">
        <v>0.45833333333333298</v>
      </c>
      <c r="W45" s="5">
        <v>11.0595238095238</v>
      </c>
      <c r="X45" s="3">
        <v>-0.25716808980021599</v>
      </c>
      <c r="Y45" s="5">
        <v>1.2378812331998099</v>
      </c>
      <c r="Z45" s="5">
        <v>0.85513881325468799</v>
      </c>
      <c r="AA45" s="5">
        <v>0.83398902979022804</v>
      </c>
    </row>
    <row r="46" spans="1:27" x14ac:dyDescent="0.45">
      <c r="A46" s="3" t="s">
        <v>34</v>
      </c>
      <c r="B46" s="3">
        <v>4</v>
      </c>
      <c r="C46" s="3">
        <v>0.3</v>
      </c>
      <c r="D46" s="3">
        <v>0.8</v>
      </c>
      <c r="E46" s="3">
        <v>409</v>
      </c>
      <c r="F46" s="3" t="s">
        <v>9</v>
      </c>
      <c r="G46" s="3">
        <v>12</v>
      </c>
      <c r="H46" s="3">
        <v>0.41710099577903698</v>
      </c>
      <c r="I46" s="3">
        <v>0.39315640926361001</v>
      </c>
      <c r="J46" s="3">
        <v>-4.5104166666666599</v>
      </c>
      <c r="K46" s="3">
        <v>5.3020833333333304</v>
      </c>
      <c r="L46" s="3">
        <v>-6.3854166666666599</v>
      </c>
      <c r="M46" s="3">
        <v>8.6354166666666607</v>
      </c>
      <c r="N46" s="3">
        <v>-10.8958333333333</v>
      </c>
      <c r="O46" s="3">
        <v>12.1458333333333</v>
      </c>
      <c r="P46" s="3">
        <v>-6.1644357146896402E-3</v>
      </c>
      <c r="Q46" s="3">
        <v>1.3396366800113699</v>
      </c>
      <c r="R46" s="3">
        <v>-5.7172619047618998</v>
      </c>
      <c r="S46" s="3">
        <v>7.5982142857142803</v>
      </c>
      <c r="T46" s="3">
        <v>-7.1636904761904701</v>
      </c>
      <c r="U46" s="3">
        <v>9.3184523809523796</v>
      </c>
      <c r="V46" s="3">
        <v>-12.8809523809523</v>
      </c>
      <c r="W46" s="3">
        <v>15.035714285714199</v>
      </c>
      <c r="X46" s="3">
        <v>0.25372317761656199</v>
      </c>
      <c r="Y46" s="3">
        <v>1.5028111390933501</v>
      </c>
      <c r="Z46" s="3">
        <v>0.85222965839312004</v>
      </c>
      <c r="AA46" s="3">
        <v>0.84213948990732101</v>
      </c>
    </row>
    <row r="47" spans="1:27" x14ac:dyDescent="0.45">
      <c r="A47" s="3" t="s">
        <v>34</v>
      </c>
      <c r="B47" s="3">
        <v>4</v>
      </c>
      <c r="C47" s="3">
        <v>0.3</v>
      </c>
      <c r="D47" s="3">
        <v>0.8</v>
      </c>
      <c r="E47" s="3">
        <v>409</v>
      </c>
      <c r="F47" s="3" t="s">
        <v>9</v>
      </c>
      <c r="G47" s="3">
        <v>15</v>
      </c>
      <c r="H47" s="3">
        <v>0.38392153382301297</v>
      </c>
      <c r="I47" s="3">
        <v>0.376620262861251</v>
      </c>
      <c r="J47" s="3">
        <v>-3.4479166666666599</v>
      </c>
      <c r="K47" s="3">
        <v>4.40625</v>
      </c>
      <c r="L47" s="3">
        <v>-6.9270833333333304</v>
      </c>
      <c r="M47" s="3">
        <v>7.7395833333333304</v>
      </c>
      <c r="N47" s="3">
        <v>-10.375</v>
      </c>
      <c r="O47" s="3">
        <v>11.1041666666666</v>
      </c>
      <c r="P47" s="3">
        <v>0.42823606042953</v>
      </c>
      <c r="Q47" s="3">
        <v>1.04081385336943</v>
      </c>
      <c r="R47" s="3">
        <v>-4.5684523809523796</v>
      </c>
      <c r="S47" s="3">
        <v>6.0446428571428497</v>
      </c>
      <c r="T47" s="3">
        <v>-6.2916666666666599</v>
      </c>
      <c r="U47" s="3">
        <v>7.6190476190476097</v>
      </c>
      <c r="V47" s="3">
        <v>-10.860119047618999</v>
      </c>
      <c r="W47" s="3">
        <v>12.574404761904701</v>
      </c>
      <c r="X47" s="3">
        <v>0.17306100950613101</v>
      </c>
      <c r="Y47" s="3">
        <v>0.89595846409298596</v>
      </c>
      <c r="Z47" s="3">
        <v>0.86631307019415804</v>
      </c>
      <c r="AA47" s="3">
        <v>0.85481313305303896</v>
      </c>
    </row>
    <row r="48" spans="1:27" x14ac:dyDescent="0.45">
      <c r="A48" s="3" t="s">
        <v>34</v>
      </c>
      <c r="B48" s="3">
        <v>4</v>
      </c>
      <c r="C48" s="3">
        <v>0.3</v>
      </c>
      <c r="D48" s="3">
        <v>0.8</v>
      </c>
      <c r="E48" s="3">
        <v>409</v>
      </c>
      <c r="F48" s="3" t="s">
        <v>9</v>
      </c>
      <c r="G48" s="3">
        <v>17</v>
      </c>
      <c r="H48" s="3">
        <v>0.38354793190956099</v>
      </c>
      <c r="I48" s="3">
        <v>0.37211370468139598</v>
      </c>
      <c r="J48" s="3">
        <v>-7.2291666666666599</v>
      </c>
      <c r="K48" s="3">
        <v>7.625</v>
      </c>
      <c r="L48" s="3">
        <v>-4.8229166666666599</v>
      </c>
      <c r="M48" s="3">
        <v>7.2395833333333304</v>
      </c>
      <c r="N48" s="3">
        <v>-12.0520833333333</v>
      </c>
      <c r="O48" s="3">
        <v>13.59375</v>
      </c>
      <c r="P48" s="3">
        <v>-0.49052779941431701</v>
      </c>
      <c r="Q48" s="3">
        <v>1.04568589452702</v>
      </c>
      <c r="R48" s="3">
        <v>-5.4107142857142803</v>
      </c>
      <c r="S48" s="3">
        <v>6.5059523809523796</v>
      </c>
      <c r="T48" s="3">
        <v>-6.9553571428571397</v>
      </c>
      <c r="U48" s="3">
        <v>8.1220238095238102</v>
      </c>
      <c r="V48" s="3">
        <v>-12.3660714285714</v>
      </c>
      <c r="W48" s="3">
        <v>13.7708333333333</v>
      </c>
      <c r="X48" s="3">
        <v>0.207114158230014</v>
      </c>
      <c r="Y48" s="3">
        <v>0.86107701193594099</v>
      </c>
      <c r="Z48" s="3">
        <v>0.871356957405235</v>
      </c>
      <c r="AA48" s="3">
        <v>0.85052811517841698</v>
      </c>
    </row>
    <row r="49" spans="1:33" x14ac:dyDescent="0.45">
      <c r="A49" s="3" t="s">
        <v>34</v>
      </c>
      <c r="B49" s="3">
        <v>4</v>
      </c>
      <c r="C49" s="3">
        <v>0.3</v>
      </c>
      <c r="D49" s="3">
        <v>0.8</v>
      </c>
      <c r="E49" s="3">
        <v>409</v>
      </c>
      <c r="F49" s="3" t="s">
        <v>9</v>
      </c>
      <c r="G49" s="3">
        <v>18</v>
      </c>
      <c r="H49" s="3">
        <v>0.394836485385894</v>
      </c>
      <c r="I49" s="3">
        <v>0.39341998100280701</v>
      </c>
      <c r="J49" s="3">
        <v>-3.7083333333333299</v>
      </c>
      <c r="K49" s="3">
        <v>4.4166666666666599</v>
      </c>
      <c r="L49" s="3">
        <v>-5.59375</v>
      </c>
      <c r="M49" s="3">
        <v>7.09375</v>
      </c>
      <c r="N49" s="3">
        <v>-9.3020833333333304</v>
      </c>
      <c r="O49" s="3">
        <v>10.5520833333333</v>
      </c>
      <c r="P49" s="3">
        <v>0.102126609284627</v>
      </c>
      <c r="Q49" s="3">
        <v>1.00394664775985</v>
      </c>
      <c r="R49" s="3">
        <v>-5.5416666666666599</v>
      </c>
      <c r="S49" s="3">
        <v>7.0119047619047601</v>
      </c>
      <c r="T49" s="3">
        <v>-5.8363095238095202</v>
      </c>
      <c r="U49" s="3">
        <v>7.27678571428571</v>
      </c>
      <c r="V49" s="3">
        <v>-11.377976190476099</v>
      </c>
      <c r="W49" s="3">
        <v>13.401785714285699</v>
      </c>
      <c r="X49" s="3">
        <v>4.3338200591221301E-2</v>
      </c>
      <c r="Y49" s="3">
        <v>0.76763884976586505</v>
      </c>
      <c r="Z49" s="3">
        <v>0.85636294852693196</v>
      </c>
      <c r="AA49" s="3">
        <v>0.840592321012961</v>
      </c>
    </row>
    <row r="50" spans="1:33" x14ac:dyDescent="0.45">
      <c r="A50" s="3" t="s">
        <v>34</v>
      </c>
      <c r="B50" s="3">
        <v>4</v>
      </c>
      <c r="C50" s="3">
        <v>0.3</v>
      </c>
      <c r="D50" s="3">
        <v>0.8</v>
      </c>
      <c r="E50" s="3">
        <v>409</v>
      </c>
      <c r="F50" s="3" t="s">
        <v>9</v>
      </c>
      <c r="G50" s="3">
        <v>21</v>
      </c>
      <c r="H50" s="3">
        <v>0.41432708501815702</v>
      </c>
      <c r="I50" s="3">
        <v>0.47474902868270802</v>
      </c>
      <c r="J50" s="3">
        <v>-4.53125</v>
      </c>
      <c r="K50" s="3">
        <v>5.0520833333333304</v>
      </c>
      <c r="L50" s="3">
        <v>-4.2604166666666599</v>
      </c>
      <c r="M50" s="3">
        <v>5.9270833333333304</v>
      </c>
      <c r="N50" s="3">
        <v>-8.7916666666666607</v>
      </c>
      <c r="O50" s="3">
        <v>9.8541666666666607</v>
      </c>
      <c r="P50" s="3">
        <v>-0.160377018740162</v>
      </c>
      <c r="Q50" s="3">
        <v>0.86544492200487499</v>
      </c>
      <c r="R50" s="3">
        <v>-7.4434523809523796</v>
      </c>
      <c r="S50" s="3">
        <v>8.2053571428571406</v>
      </c>
      <c r="T50" s="3">
        <v>-7.2589285714285703</v>
      </c>
      <c r="U50" s="3">
        <v>8.3482142857142794</v>
      </c>
      <c r="V50" s="3">
        <v>-14.702380952380899</v>
      </c>
      <c r="W50" s="3">
        <v>15.773809523809501</v>
      </c>
      <c r="X50" s="3">
        <v>-3.0121262186941399E-2</v>
      </c>
      <c r="Y50" s="3">
        <v>0.84054959784045602</v>
      </c>
      <c r="Z50" s="3">
        <v>0.733829474593367</v>
      </c>
      <c r="AA50" s="3">
        <v>0.76706123671382498</v>
      </c>
    </row>
    <row r="51" spans="1:33" x14ac:dyDescent="0.45">
      <c r="A51" s="3" t="s">
        <v>34</v>
      </c>
      <c r="B51" s="3">
        <v>4</v>
      </c>
      <c r="C51" s="3">
        <v>0.3</v>
      </c>
      <c r="D51" s="3">
        <v>0.8</v>
      </c>
      <c r="E51" s="3">
        <v>409</v>
      </c>
      <c r="F51" s="3" t="s">
        <v>9</v>
      </c>
      <c r="G51" s="3">
        <v>22</v>
      </c>
      <c r="H51" s="3">
        <v>0.39978519082069303</v>
      </c>
      <c r="I51" s="3">
        <v>0.39375287294387801</v>
      </c>
      <c r="J51" s="3">
        <v>-4.1770833333333304</v>
      </c>
      <c r="K51" s="3">
        <v>4.9895833333333304</v>
      </c>
      <c r="L51" s="3">
        <v>-5.6458333333333304</v>
      </c>
      <c r="M51" s="3">
        <v>6.75</v>
      </c>
      <c r="N51" s="3">
        <v>-9.8229166666666607</v>
      </c>
      <c r="O51" s="3">
        <v>10.6979166666666</v>
      </c>
      <c r="P51" s="3">
        <v>0.20591577465300301</v>
      </c>
      <c r="Q51" s="3">
        <v>0.95975139940099996</v>
      </c>
      <c r="R51" s="3">
        <v>-5.5416666666666599</v>
      </c>
      <c r="S51" s="3">
        <v>6.8869047619047601</v>
      </c>
      <c r="T51" s="3">
        <v>-5.6875</v>
      </c>
      <c r="U51" s="3">
        <v>6.7946428571428497</v>
      </c>
      <c r="V51" s="3">
        <v>-11.2291666666666</v>
      </c>
      <c r="W51" s="3">
        <v>12.961309523809501</v>
      </c>
      <c r="X51" s="3">
        <v>3.6135202053552799E-2</v>
      </c>
      <c r="Y51" s="3">
        <v>0.798977163105838</v>
      </c>
      <c r="Z51" s="3">
        <v>0.86577233312372703</v>
      </c>
      <c r="AA51" s="3">
        <v>0.861371902903596</v>
      </c>
    </row>
    <row r="52" spans="1:33" x14ac:dyDescent="0.45">
      <c r="A52" s="3" t="s">
        <v>34</v>
      </c>
      <c r="B52" s="3">
        <v>4</v>
      </c>
      <c r="C52" s="3">
        <v>0.3</v>
      </c>
      <c r="D52" s="3">
        <v>0.8</v>
      </c>
      <c r="E52" s="3">
        <v>409</v>
      </c>
      <c r="F52" s="3" t="s">
        <v>9</v>
      </c>
      <c r="G52" s="3">
        <v>24</v>
      </c>
      <c r="H52" s="3">
        <v>0.36547601222991899</v>
      </c>
      <c r="I52" s="3">
        <v>0.38193130493164001</v>
      </c>
      <c r="J52" s="3">
        <v>-2.71875</v>
      </c>
      <c r="K52" s="3">
        <v>3.6354166666666599</v>
      </c>
      <c r="L52" s="3">
        <v>-5.9270833333333304</v>
      </c>
      <c r="M52" s="3">
        <v>6.9270833333333304</v>
      </c>
      <c r="N52" s="3">
        <v>-8.6458333333333304</v>
      </c>
      <c r="O52" s="3">
        <v>9.4791666666666607</v>
      </c>
      <c r="P52" s="3">
        <v>0.41442307079423302</v>
      </c>
      <c r="Q52" s="3">
        <v>0.96821313585108604</v>
      </c>
      <c r="R52" s="3">
        <v>-5.1845238095238004</v>
      </c>
      <c r="S52" s="3">
        <v>6.6190476190476097</v>
      </c>
      <c r="T52" s="3">
        <v>-6.3244047619047601</v>
      </c>
      <c r="U52" s="3">
        <v>7.3839285714285703</v>
      </c>
      <c r="V52" s="3">
        <v>-11.5089285714285</v>
      </c>
      <c r="W52" s="3">
        <v>13.1755952380952</v>
      </c>
      <c r="X52" s="3">
        <v>0.21376946717478501</v>
      </c>
      <c r="Y52" s="3">
        <v>0.75636042634394896</v>
      </c>
      <c r="Z52" s="3">
        <v>0.855225072317228</v>
      </c>
      <c r="AA52" s="3">
        <v>0.85660734556957696</v>
      </c>
    </row>
    <row r="53" spans="1:33" x14ac:dyDescent="0.45">
      <c r="A53" s="3" t="s">
        <v>34</v>
      </c>
      <c r="B53" s="3">
        <v>4</v>
      </c>
      <c r="C53" s="3">
        <v>0.3</v>
      </c>
      <c r="D53" s="3">
        <v>0.8</v>
      </c>
      <c r="E53" s="3">
        <v>409</v>
      </c>
      <c r="F53" s="3" t="s">
        <v>9</v>
      </c>
      <c r="G53" s="3">
        <v>27</v>
      </c>
      <c r="H53" s="3">
        <v>0.36620154976844699</v>
      </c>
      <c r="I53" s="3">
        <v>0.360595673322677</v>
      </c>
      <c r="J53" s="3">
        <v>-3.9791666666666599</v>
      </c>
      <c r="K53" s="3">
        <v>4.7083333333333304</v>
      </c>
      <c r="L53" s="3">
        <v>-3.9375</v>
      </c>
      <c r="M53" s="3">
        <v>5.75</v>
      </c>
      <c r="N53" s="3">
        <v>-7.9166666666666599</v>
      </c>
      <c r="O53" s="3">
        <v>9.5208333333333304</v>
      </c>
      <c r="P53" s="3">
        <v>-0.20122148847935001</v>
      </c>
      <c r="Q53" s="3">
        <v>0.89526515644117599</v>
      </c>
      <c r="R53" s="3">
        <v>-5.1696428571428497</v>
      </c>
      <c r="S53" s="3">
        <v>6.2946428571428497</v>
      </c>
      <c r="T53" s="3">
        <v>-6.7053571428571397</v>
      </c>
      <c r="U53" s="3">
        <v>7.4434523809523796</v>
      </c>
      <c r="V53" s="3">
        <v>-11.875</v>
      </c>
      <c r="W53" s="3">
        <v>13.0535714285714</v>
      </c>
      <c r="X53" s="3">
        <v>0.211602917996184</v>
      </c>
      <c r="Y53" s="3">
        <v>0.79525295992924805</v>
      </c>
      <c r="Z53" s="3">
        <v>0.84217176108246306</v>
      </c>
      <c r="AA53" s="3">
        <v>0.82904068230710803</v>
      </c>
    </row>
    <row r="54" spans="1:33" x14ac:dyDescent="0.45">
      <c r="A54" s="3" t="s">
        <v>34</v>
      </c>
      <c r="B54" s="3">
        <v>4</v>
      </c>
      <c r="C54" s="3">
        <v>0.3</v>
      </c>
      <c r="D54" s="3">
        <v>0.8</v>
      </c>
      <c r="E54" s="3">
        <v>409</v>
      </c>
      <c r="F54" s="3" t="s">
        <v>9</v>
      </c>
      <c r="G54" s="3">
        <v>28</v>
      </c>
      <c r="H54" s="3">
        <v>0.37749516963958701</v>
      </c>
      <c r="I54" s="3">
        <v>0.36329621076583801</v>
      </c>
      <c r="J54" s="3">
        <v>-4.15625</v>
      </c>
      <c r="K54" s="3">
        <v>4.7604166666666599</v>
      </c>
      <c r="L54" s="3">
        <v>-4.8229166666666599</v>
      </c>
      <c r="M54" s="3">
        <v>6.1145833333333304</v>
      </c>
      <c r="N54" s="3">
        <v>-8.9791666666666607</v>
      </c>
      <c r="O54" s="3">
        <v>9.8541666666666607</v>
      </c>
      <c r="P54" s="3">
        <v>6.4464352019390603E-2</v>
      </c>
      <c r="Q54" s="3">
        <v>0.79422687501758205</v>
      </c>
      <c r="R54" s="3">
        <v>-5.7053571428571397</v>
      </c>
      <c r="S54" s="3">
        <v>6.8541666666666599</v>
      </c>
      <c r="T54" s="3">
        <v>-5.8690476190476097</v>
      </c>
      <c r="U54" s="3">
        <v>6.8869047619047601</v>
      </c>
      <c r="V54" s="3">
        <v>-11.574404761904701</v>
      </c>
      <c r="W54" s="3">
        <v>13.056547619047601</v>
      </c>
      <c r="X54" s="3">
        <v>9.2950029131174505E-2</v>
      </c>
      <c r="Y54" s="3">
        <v>0.72515894379025103</v>
      </c>
      <c r="Z54" s="3">
        <v>0.85885664886242896</v>
      </c>
      <c r="AA54" s="3">
        <v>0.86089087411891396</v>
      </c>
    </row>
    <row r="55" spans="1:33" x14ac:dyDescent="0.45">
      <c r="A55" s="3" t="s">
        <v>34</v>
      </c>
      <c r="B55" s="3">
        <v>4</v>
      </c>
      <c r="C55" s="3">
        <v>0.3</v>
      </c>
      <c r="D55" s="3">
        <v>0.8</v>
      </c>
      <c r="E55" s="3">
        <v>409</v>
      </c>
      <c r="F55" s="3" t="s">
        <v>9</v>
      </c>
      <c r="G55" s="3">
        <v>29</v>
      </c>
      <c r="H55" s="3">
        <v>0.37867614626884399</v>
      </c>
      <c r="I55" s="3">
        <v>0.37408930063247597</v>
      </c>
      <c r="J55" s="3">
        <v>-3.1145833333333299</v>
      </c>
      <c r="K55" s="3">
        <v>4.0729166666666599</v>
      </c>
      <c r="L55" s="3">
        <v>-3.1458333333333299</v>
      </c>
      <c r="M55" s="3">
        <v>4.9791666666666599</v>
      </c>
      <c r="N55" s="3">
        <v>-6.2604166666666599</v>
      </c>
      <c r="O55" s="3">
        <v>8.0104166666666607</v>
      </c>
      <c r="P55" s="3">
        <v>-8.2900793445964502E-2</v>
      </c>
      <c r="Q55" s="3">
        <v>0.80754976221915398</v>
      </c>
      <c r="R55" s="3">
        <v>-5.3898809523809499</v>
      </c>
      <c r="S55" s="3">
        <v>6.4791666666666599</v>
      </c>
      <c r="T55" s="3">
        <v>-6.4226190476190403</v>
      </c>
      <c r="U55" s="3">
        <v>7.3928571428571397</v>
      </c>
      <c r="V55" s="3">
        <v>-11.8125</v>
      </c>
      <c r="W55" s="3">
        <v>13.157738095238001</v>
      </c>
      <c r="X55" s="3">
        <v>8.2729410598450195E-2</v>
      </c>
      <c r="Y55" s="3">
        <v>0.75215059217895996</v>
      </c>
      <c r="Z55" s="3">
        <v>0.83709771673512801</v>
      </c>
      <c r="AA55" s="3">
        <v>0.86686644922537504</v>
      </c>
    </row>
    <row r="56" spans="1:33" x14ac:dyDescent="0.45">
      <c r="A56" s="3" t="s">
        <v>35</v>
      </c>
      <c r="B56" s="3">
        <v>0</v>
      </c>
      <c r="C56" s="3">
        <v>0.5</v>
      </c>
      <c r="D56" s="3">
        <v>0.2</v>
      </c>
      <c r="E56" s="3">
        <v>409</v>
      </c>
      <c r="F56" s="3" t="s">
        <v>9</v>
      </c>
      <c r="G56" s="3">
        <v>13</v>
      </c>
      <c r="H56" s="3">
        <v>0.46680352091789201</v>
      </c>
      <c r="I56" s="3">
        <v>0.43344974517822199</v>
      </c>
      <c r="J56" s="3">
        <v>1.0833333333333299</v>
      </c>
      <c r="K56" s="3">
        <v>5.875</v>
      </c>
      <c r="L56" s="3">
        <v>-0.875</v>
      </c>
      <c r="M56" s="3">
        <v>8.7291666666666607</v>
      </c>
      <c r="N56" s="3">
        <v>0.20833333333333301</v>
      </c>
      <c r="O56" s="3">
        <v>12.3333333333333</v>
      </c>
      <c r="P56" s="3">
        <v>-8.9400921775344699E-2</v>
      </c>
      <c r="Q56" s="3">
        <v>1.7002985786931799</v>
      </c>
      <c r="R56" s="3">
        <v>0.81547619047619002</v>
      </c>
      <c r="S56" s="3">
        <v>6.6190476190476097</v>
      </c>
      <c r="T56" s="3">
        <v>-1.9910714285714199</v>
      </c>
      <c r="U56" s="3">
        <v>8.6577380952380896</v>
      </c>
      <c r="V56" s="3">
        <v>-1.1755952380952299</v>
      </c>
      <c r="W56" s="3">
        <v>13.377976190476099</v>
      </c>
      <c r="X56" s="3">
        <v>2.29653800490476E-2</v>
      </c>
      <c r="Y56" s="3">
        <v>1.6898568515427601</v>
      </c>
      <c r="Z56" s="3">
        <v>0.80660084228914597</v>
      </c>
      <c r="AA56" s="3">
        <v>0.78027236517783105</v>
      </c>
      <c r="AB56" s="3">
        <v>0.33648619055747903</v>
      </c>
      <c r="AC56" s="3">
        <v>0.56749308109283403</v>
      </c>
      <c r="AD56" s="3">
        <v>0.36599373817443798</v>
      </c>
      <c r="AE56" s="3">
        <v>0.30584391951560902</v>
      </c>
      <c r="AF56" s="3">
        <v>0.53776824474334695</v>
      </c>
      <c r="AG56" s="3">
        <v>0.31949627399444502</v>
      </c>
    </row>
    <row r="57" spans="1:33" x14ac:dyDescent="0.45">
      <c r="A57" s="3" t="s">
        <v>35</v>
      </c>
      <c r="B57" s="3">
        <v>0</v>
      </c>
      <c r="C57" s="3">
        <v>0.5</v>
      </c>
      <c r="D57" s="3">
        <v>0.2</v>
      </c>
      <c r="E57" s="3">
        <v>409</v>
      </c>
      <c r="F57" s="3" t="s">
        <v>9</v>
      </c>
      <c r="G57" s="3">
        <v>14</v>
      </c>
      <c r="H57" s="3">
        <v>0.43037188053131098</v>
      </c>
      <c r="I57" s="3">
        <v>0.40990626811981201</v>
      </c>
      <c r="J57" s="3">
        <v>1.0416666666666601</v>
      </c>
      <c r="K57" s="3">
        <v>6.3333333333333304</v>
      </c>
      <c r="L57" s="3">
        <v>-0.28125</v>
      </c>
      <c r="M57" s="3">
        <v>9.0520833333333304</v>
      </c>
      <c r="N57" s="3">
        <v>0.76041666666666596</v>
      </c>
      <c r="O57" s="3">
        <v>12.8229166666666</v>
      </c>
      <c r="P57" s="3">
        <v>-0.35989113032727299</v>
      </c>
      <c r="Q57" s="3">
        <v>1.8807043433191899</v>
      </c>
      <c r="R57" s="3">
        <v>-0.93452380952380898</v>
      </c>
      <c r="S57" s="3">
        <v>6.33928571428571</v>
      </c>
      <c r="T57" s="3">
        <v>-1.9821428571428501</v>
      </c>
      <c r="U57" s="3">
        <v>9.0833333333333304</v>
      </c>
      <c r="V57" s="3">
        <v>-2.9166666666666599</v>
      </c>
      <c r="W57" s="3">
        <v>14.1845238095238</v>
      </c>
      <c r="X57" s="3">
        <v>3.9492918994629297E-2</v>
      </c>
      <c r="Y57" s="3">
        <v>1.36820348168741</v>
      </c>
      <c r="Z57" s="3">
        <v>0.82640606113642801</v>
      </c>
      <c r="AA57" s="3">
        <v>0.80250826408591502</v>
      </c>
      <c r="AB57" s="3">
        <v>0.34340530633926297</v>
      </c>
      <c r="AC57" s="3">
        <v>0.56752997636795</v>
      </c>
      <c r="AD57" s="3">
        <v>0.38629791140556302</v>
      </c>
      <c r="AE57" s="3">
        <v>0.322271227836608</v>
      </c>
      <c r="AF57" s="3">
        <v>0.53822022676467896</v>
      </c>
      <c r="AG57" s="3">
        <v>0.36188817024230902</v>
      </c>
    </row>
    <row r="58" spans="1:33" x14ac:dyDescent="0.45">
      <c r="A58" s="3" t="s">
        <v>35</v>
      </c>
      <c r="B58" s="3">
        <v>0</v>
      </c>
      <c r="C58" s="3">
        <v>0.5</v>
      </c>
      <c r="D58" s="3">
        <v>0.2</v>
      </c>
      <c r="E58" s="3">
        <v>409</v>
      </c>
      <c r="F58" s="3" t="s">
        <v>9</v>
      </c>
      <c r="G58" s="3">
        <v>17</v>
      </c>
      <c r="H58" s="3">
        <v>0.43161892890930098</v>
      </c>
      <c r="I58" s="3">
        <v>0.39460536837577798</v>
      </c>
      <c r="J58" s="3">
        <v>-0.53125</v>
      </c>
      <c r="K58" s="3">
        <v>4.65625</v>
      </c>
      <c r="L58" s="3">
        <v>-1.6354166666666601</v>
      </c>
      <c r="M58" s="3">
        <v>7.96875</v>
      </c>
      <c r="N58" s="3">
        <v>-2.1666666666666599</v>
      </c>
      <c r="O58" s="3">
        <v>11.5</v>
      </c>
      <c r="P58" s="3">
        <v>-0.19506329715082801</v>
      </c>
      <c r="Q58" s="3">
        <v>1.2980163542979699</v>
      </c>
      <c r="R58" s="3">
        <v>0.66964285714285698</v>
      </c>
      <c r="S58" s="3">
        <v>6.7232142857142803</v>
      </c>
      <c r="T58" s="3">
        <v>-1.3214285714285701</v>
      </c>
      <c r="U58" s="3">
        <v>8.2916666666666607</v>
      </c>
      <c r="V58" s="3">
        <v>-0.65178571428571397</v>
      </c>
      <c r="W58" s="3">
        <v>13.3958333333333</v>
      </c>
      <c r="X58" s="3">
        <v>-1.7117420954491501E-2</v>
      </c>
      <c r="Y58" s="3">
        <v>1.32588968102369</v>
      </c>
      <c r="Z58" s="3">
        <v>0.83429887109329903</v>
      </c>
      <c r="AA58" s="3">
        <v>0.81676297411601895</v>
      </c>
      <c r="AB58" s="3">
        <v>0.33978897333145103</v>
      </c>
      <c r="AC58" s="3">
        <v>0.56751245260238603</v>
      </c>
      <c r="AD58" s="3">
        <v>0.37428888678550698</v>
      </c>
      <c r="AE58" s="3">
        <v>0.31668105721473599</v>
      </c>
      <c r="AF58" s="3">
        <v>0.53783279657363803</v>
      </c>
      <c r="AG58" s="3">
        <v>0.34032386541366499</v>
      </c>
    </row>
    <row r="59" spans="1:33" x14ac:dyDescent="0.45">
      <c r="A59" s="3" t="s">
        <v>35</v>
      </c>
      <c r="B59" s="3">
        <v>0</v>
      </c>
      <c r="C59" s="3">
        <v>0.5</v>
      </c>
      <c r="D59" s="3">
        <v>0.2</v>
      </c>
      <c r="E59" s="3">
        <v>409</v>
      </c>
      <c r="F59" s="3" t="s">
        <v>9</v>
      </c>
      <c r="G59" s="3">
        <v>18</v>
      </c>
      <c r="H59" s="3">
        <v>0.45582336187362599</v>
      </c>
      <c r="I59" s="3">
        <v>0.41056776046752902</v>
      </c>
      <c r="J59" s="3">
        <v>0.51041666666666596</v>
      </c>
      <c r="K59" s="3">
        <v>4.7604166666666599</v>
      </c>
      <c r="L59" s="3">
        <v>-2.21875</v>
      </c>
      <c r="M59" s="3">
        <v>7.9479166666666599</v>
      </c>
      <c r="N59" s="3">
        <v>-1.7083333333333299</v>
      </c>
      <c r="O59" s="3">
        <v>11.7083333333333</v>
      </c>
      <c r="P59" s="3">
        <v>-7.0738154378313604E-3</v>
      </c>
      <c r="Q59" s="3">
        <v>1.3252931859953301</v>
      </c>
      <c r="R59" s="3">
        <v>0.90178571428571397</v>
      </c>
      <c r="S59" s="3">
        <v>6.7351190476190403</v>
      </c>
      <c r="T59" s="3">
        <v>4.1666666666666602E-2</v>
      </c>
      <c r="U59" s="3">
        <v>8.3571428571428505</v>
      </c>
      <c r="V59" s="3">
        <v>0.94345238095238004</v>
      </c>
      <c r="W59" s="3">
        <v>13.461309523809501</v>
      </c>
      <c r="X59" s="3">
        <v>-4.97018111301918E-2</v>
      </c>
      <c r="Y59" s="3">
        <v>1.58776314599566</v>
      </c>
      <c r="Z59" s="3">
        <v>0.83784808931141097</v>
      </c>
      <c r="AA59" s="3">
        <v>0.80914341525654299</v>
      </c>
      <c r="AB59" s="3">
        <v>0.33889457583427401</v>
      </c>
      <c r="AC59" s="3">
        <v>0.56762993335723799</v>
      </c>
      <c r="AD59" s="3">
        <v>0.37114414572715698</v>
      </c>
      <c r="AE59" s="3">
        <v>0.31364965438842701</v>
      </c>
      <c r="AF59" s="3">
        <v>0.53786677122116</v>
      </c>
      <c r="AG59" s="3">
        <v>0.32957205176353399</v>
      </c>
    </row>
    <row r="60" spans="1:33" x14ac:dyDescent="0.45">
      <c r="A60" s="3" t="s">
        <v>35</v>
      </c>
      <c r="B60" s="3">
        <v>0</v>
      </c>
      <c r="C60" s="3">
        <v>0.5</v>
      </c>
      <c r="D60" s="3">
        <v>0.2</v>
      </c>
      <c r="E60" s="3">
        <v>409</v>
      </c>
      <c r="F60" s="3" t="s">
        <v>9</v>
      </c>
      <c r="G60" s="3">
        <v>19</v>
      </c>
      <c r="H60" s="3">
        <v>0.42888665199279702</v>
      </c>
      <c r="I60" s="3">
        <v>0.40381497144699002</v>
      </c>
      <c r="J60" s="3">
        <v>0.51041666666666596</v>
      </c>
      <c r="K60" s="3">
        <v>5.0520833333333304</v>
      </c>
      <c r="L60" s="3">
        <v>-2</v>
      </c>
      <c r="M60" s="3">
        <v>8.1875</v>
      </c>
      <c r="N60" s="3">
        <v>-1.4895833333333299</v>
      </c>
      <c r="O60" s="3">
        <v>11.7604166666666</v>
      </c>
      <c r="P60" s="3">
        <v>-6.4718591119032595E-2</v>
      </c>
      <c r="Q60" s="3">
        <v>1.3729370215097201</v>
      </c>
      <c r="R60" s="3">
        <v>-0.17261904761904701</v>
      </c>
      <c r="S60" s="3">
        <v>6.33928571428571</v>
      </c>
      <c r="T60" s="3">
        <v>-1.5714285714285701</v>
      </c>
      <c r="U60" s="3">
        <v>7.8035714285714199</v>
      </c>
      <c r="V60" s="3">
        <v>-1.74404761904761</v>
      </c>
      <c r="W60" s="3">
        <v>12.690476190476099</v>
      </c>
      <c r="X60" s="3">
        <v>-3.8018010526104998E-2</v>
      </c>
      <c r="Y60" s="3">
        <v>1.26115744416384</v>
      </c>
      <c r="Z60" s="3">
        <v>0.83311708545968299</v>
      </c>
      <c r="AA60" s="3">
        <v>0.80662695599600298</v>
      </c>
      <c r="AB60" s="3">
        <v>0.351061820983886</v>
      </c>
      <c r="AC60" s="3">
        <v>0.56786996126174905</v>
      </c>
      <c r="AD60" s="3">
        <v>0.39652699232101402</v>
      </c>
      <c r="AE60" s="3">
        <v>0.31306231021881098</v>
      </c>
      <c r="AF60" s="3">
        <v>0.53768682479858398</v>
      </c>
      <c r="AG60" s="3">
        <v>0.32665294408798201</v>
      </c>
    </row>
    <row r="61" spans="1:33" x14ac:dyDescent="0.45">
      <c r="A61" s="3" t="s">
        <v>35</v>
      </c>
      <c r="B61" s="3">
        <v>0</v>
      </c>
      <c r="C61" s="3">
        <v>0.5</v>
      </c>
      <c r="D61" s="3">
        <v>0.2</v>
      </c>
      <c r="E61" s="3">
        <v>409</v>
      </c>
      <c r="F61" s="3" t="s">
        <v>9</v>
      </c>
      <c r="G61" s="3">
        <v>22</v>
      </c>
      <c r="H61" s="3">
        <v>0.413812905550003</v>
      </c>
      <c r="I61" s="3">
        <v>0.40054017305374101</v>
      </c>
      <c r="J61" s="3">
        <v>0.90625</v>
      </c>
      <c r="K61" s="3">
        <v>4.59375</v>
      </c>
      <c r="L61" s="3">
        <v>-2.9583333333333299</v>
      </c>
      <c r="M61" s="3">
        <v>6.8125</v>
      </c>
      <c r="N61" s="3">
        <v>-2.0520833333333299</v>
      </c>
      <c r="O61" s="3">
        <v>9.5729166666666607</v>
      </c>
      <c r="P61" s="3">
        <v>0.47406335196815003</v>
      </c>
      <c r="Q61" s="3">
        <v>1.2823617807621599</v>
      </c>
      <c r="R61" s="3">
        <v>-0.82440476190476097</v>
      </c>
      <c r="S61" s="3">
        <v>6.4613095238095202</v>
      </c>
      <c r="T61" s="3">
        <v>-1.1696428571428501</v>
      </c>
      <c r="U61" s="3">
        <v>8.4910714285714199</v>
      </c>
      <c r="V61" s="3">
        <v>-1.99404761904761</v>
      </c>
      <c r="W61" s="3">
        <v>13.714285714285699</v>
      </c>
      <c r="X61" s="3">
        <v>-0.16218859210601</v>
      </c>
      <c r="Y61" s="3">
        <v>1.27322823194601</v>
      </c>
      <c r="Z61" s="3">
        <v>0.83666349430954801</v>
      </c>
      <c r="AA61" s="3">
        <v>0.82950558284676601</v>
      </c>
      <c r="AB61" s="3">
        <v>0.347001492977142</v>
      </c>
      <c r="AC61" s="3">
        <v>0.56716603040695102</v>
      </c>
      <c r="AD61" s="3">
        <v>0.395284473896026</v>
      </c>
      <c r="AE61" s="3">
        <v>0.32757893204688998</v>
      </c>
      <c r="AF61" s="3">
        <v>0.53788280487060502</v>
      </c>
      <c r="AG61" s="3">
        <v>0.36261039972305298</v>
      </c>
    </row>
    <row r="62" spans="1:33" x14ac:dyDescent="0.45">
      <c r="A62" s="3" t="s">
        <v>35</v>
      </c>
      <c r="B62" s="3">
        <v>0</v>
      </c>
      <c r="C62" s="3">
        <v>0.5</v>
      </c>
      <c r="D62" s="3">
        <v>0.2</v>
      </c>
      <c r="E62" s="3">
        <v>409</v>
      </c>
      <c r="F62" s="3" t="s">
        <v>9</v>
      </c>
      <c r="G62" s="3">
        <v>24</v>
      </c>
      <c r="H62" s="3">
        <v>0.42612281441688499</v>
      </c>
      <c r="I62" s="3">
        <v>0.391454637050628</v>
      </c>
      <c r="J62" s="3">
        <v>0.46875</v>
      </c>
      <c r="K62" s="3">
        <v>5.6354166666666599</v>
      </c>
      <c r="L62" s="3">
        <v>-3.4375</v>
      </c>
      <c r="M62" s="3">
        <v>8.6666666666666607</v>
      </c>
      <c r="N62" s="3">
        <v>-2.96875</v>
      </c>
      <c r="O62" s="3">
        <v>12.15625</v>
      </c>
      <c r="P62" s="3">
        <v>4.8000497442610097E-2</v>
      </c>
      <c r="Q62" s="3">
        <v>1.5942575635809799</v>
      </c>
      <c r="R62" s="3">
        <v>-0.88095238095238004</v>
      </c>
      <c r="S62" s="3">
        <v>6.4880952380952301</v>
      </c>
      <c r="T62" s="3">
        <v>-1.5803571428571399</v>
      </c>
      <c r="U62" s="3">
        <v>8.2827380952380896</v>
      </c>
      <c r="V62" s="3">
        <v>-2.4613095238095202</v>
      </c>
      <c r="W62" s="3">
        <v>13.5208333333333</v>
      </c>
      <c r="X62" s="3">
        <v>9.1252866577626601E-2</v>
      </c>
      <c r="Y62" s="3">
        <v>1.4264112224515</v>
      </c>
      <c r="Z62" s="3">
        <v>0.83329669793692296</v>
      </c>
      <c r="AA62" s="3">
        <v>0.80185763706862301</v>
      </c>
      <c r="AB62" s="3">
        <v>0.34130042791366499</v>
      </c>
      <c r="AC62" s="3">
        <v>0.56760835647582997</v>
      </c>
      <c r="AD62" s="3">
        <v>0.37241792678833002</v>
      </c>
      <c r="AE62" s="3">
        <v>0.315655827522277</v>
      </c>
      <c r="AF62" s="3">
        <v>0.53765624761581399</v>
      </c>
      <c r="AG62" s="3">
        <v>0.33735829591751099</v>
      </c>
    </row>
    <row r="63" spans="1:33" x14ac:dyDescent="0.45">
      <c r="A63" s="3" t="s">
        <v>35</v>
      </c>
      <c r="B63" s="3">
        <v>0</v>
      </c>
      <c r="C63" s="3">
        <v>0.5</v>
      </c>
      <c r="D63" s="3">
        <v>0.2</v>
      </c>
      <c r="E63" s="3">
        <v>409</v>
      </c>
      <c r="F63" s="3" t="s">
        <v>9</v>
      </c>
      <c r="G63" s="3">
        <v>25</v>
      </c>
      <c r="H63" s="3">
        <v>0.41057041287422102</v>
      </c>
      <c r="I63" s="3">
        <v>0.41918003559112499</v>
      </c>
      <c r="J63" s="3">
        <v>1.78125</v>
      </c>
      <c r="K63" s="3">
        <v>5.5729166666666599</v>
      </c>
      <c r="L63" s="3">
        <v>-0.17708333333333301</v>
      </c>
      <c r="M63" s="3">
        <v>7.5104166666666599</v>
      </c>
      <c r="N63" s="3">
        <v>1.6041666666666601</v>
      </c>
      <c r="O63" s="3">
        <v>11.6458333333333</v>
      </c>
      <c r="P63" s="3">
        <v>-0.22234788335792</v>
      </c>
      <c r="Q63" s="3">
        <v>1.35430637828137</v>
      </c>
      <c r="R63" s="3">
        <v>-0.1875</v>
      </c>
      <c r="S63" s="3">
        <v>6.4136904761904701</v>
      </c>
      <c r="T63" s="3">
        <v>-1.3005952380952299</v>
      </c>
      <c r="U63" s="3">
        <v>8.5625</v>
      </c>
      <c r="V63" s="3">
        <v>-1.4880952380952299</v>
      </c>
      <c r="W63" s="3">
        <v>13.565476190476099</v>
      </c>
      <c r="X63" s="3">
        <v>-0.14320753332338901</v>
      </c>
      <c r="Y63" s="3">
        <v>1.5410752525359399</v>
      </c>
      <c r="Z63" s="3">
        <v>0.77789957097805695</v>
      </c>
      <c r="AA63" s="3">
        <v>0.77340189275085403</v>
      </c>
      <c r="AB63" s="3">
        <v>0.34796363115310602</v>
      </c>
      <c r="AC63" s="3">
        <v>0.56777435541152899</v>
      </c>
      <c r="AD63" s="3">
        <v>0.38838356733322099</v>
      </c>
      <c r="AE63" s="3">
        <v>0.31229931116104098</v>
      </c>
      <c r="AF63" s="3">
        <v>0.53738445043563798</v>
      </c>
      <c r="AG63" s="3">
        <v>0.32148730754852201</v>
      </c>
    </row>
    <row r="64" spans="1:33" x14ac:dyDescent="0.45">
      <c r="A64" s="3" t="s">
        <v>35</v>
      </c>
      <c r="B64" s="3">
        <v>0</v>
      </c>
      <c r="C64" s="3">
        <v>0.5</v>
      </c>
      <c r="D64" s="3">
        <v>0.2</v>
      </c>
      <c r="E64" s="3">
        <v>409</v>
      </c>
      <c r="F64" s="3" t="s">
        <v>9</v>
      </c>
      <c r="G64" s="3">
        <v>26</v>
      </c>
      <c r="H64" s="3">
        <v>0.42521890997886602</v>
      </c>
      <c r="I64" s="3">
        <v>0.38508626818656899</v>
      </c>
      <c r="J64" s="3">
        <v>0.92708333333333304</v>
      </c>
      <c r="K64" s="3">
        <v>5.9270833333333304</v>
      </c>
      <c r="L64" s="3">
        <v>-0.5625</v>
      </c>
      <c r="M64" s="3">
        <v>6.5</v>
      </c>
      <c r="N64" s="3">
        <v>0.36458333333333298</v>
      </c>
      <c r="O64" s="3">
        <v>11.0104166666666</v>
      </c>
      <c r="P64" s="3">
        <v>-0.246713821273917</v>
      </c>
      <c r="Q64" s="3">
        <v>1.34072684024655</v>
      </c>
      <c r="R64" s="3">
        <v>6.8452380952380903E-2</v>
      </c>
      <c r="S64" s="3">
        <v>6.6101190476190403</v>
      </c>
      <c r="T64" s="3">
        <v>-1.83630952380952</v>
      </c>
      <c r="U64" s="3">
        <v>8.1994047619047592</v>
      </c>
      <c r="V64" s="3">
        <v>-1.7678571428571399</v>
      </c>
      <c r="W64" s="3">
        <v>13.4583333333333</v>
      </c>
      <c r="X64" s="3">
        <v>-7.2198387160789995E-2</v>
      </c>
      <c r="Y64" s="3">
        <v>1.38309906652869</v>
      </c>
      <c r="Z64" s="3">
        <v>0.83467565058323401</v>
      </c>
      <c r="AA64" s="3">
        <v>0.82992465465072596</v>
      </c>
      <c r="AB64" s="3">
        <v>0.34905263781547502</v>
      </c>
      <c r="AC64" s="3">
        <v>0.56776380538940396</v>
      </c>
      <c r="AD64" s="3">
        <v>0.39419028162956199</v>
      </c>
      <c r="AE64" s="3">
        <v>0.32270783185958801</v>
      </c>
      <c r="AF64" s="3">
        <v>0.53819292783737105</v>
      </c>
      <c r="AG64" s="3">
        <v>0.35614192485809298</v>
      </c>
    </row>
    <row r="65" spans="1:33" x14ac:dyDescent="0.45">
      <c r="A65" s="3" t="s">
        <v>35</v>
      </c>
      <c r="B65" s="3">
        <v>0</v>
      </c>
      <c r="C65" s="3">
        <v>0.5</v>
      </c>
      <c r="D65" s="3">
        <v>0.2</v>
      </c>
      <c r="E65" s="3">
        <v>409</v>
      </c>
      <c r="F65" s="3" t="s">
        <v>9</v>
      </c>
      <c r="G65" s="3">
        <v>28</v>
      </c>
      <c r="H65" s="3">
        <v>0.42706340551376298</v>
      </c>
      <c r="I65" s="3">
        <v>0.40373855829238797</v>
      </c>
      <c r="J65" s="3">
        <v>1.53125</v>
      </c>
      <c r="K65" s="3">
        <v>6.2604166666666599</v>
      </c>
      <c r="L65" s="3">
        <v>-3</v>
      </c>
      <c r="M65" s="3">
        <v>7.6666666666666599</v>
      </c>
      <c r="N65" s="3">
        <v>-1.46875</v>
      </c>
      <c r="O65" s="3">
        <v>11.1979166666666</v>
      </c>
      <c r="P65" s="3">
        <v>0.30246461067823699</v>
      </c>
      <c r="Q65" s="3">
        <v>1.4195678049048801</v>
      </c>
      <c r="R65" s="3">
        <v>-0.12797619047618999</v>
      </c>
      <c r="S65" s="3">
        <v>7.3363095238095202</v>
      </c>
      <c r="T65" s="3">
        <v>-2.0297619047619002</v>
      </c>
      <c r="U65" s="3">
        <v>8.0714285714285694</v>
      </c>
      <c r="V65" s="3">
        <v>-2.15773809523809</v>
      </c>
      <c r="W65" s="3">
        <v>13.3184523809523</v>
      </c>
      <c r="X65" s="3">
        <v>0.15765015801269</v>
      </c>
      <c r="Y65" s="3">
        <v>1.4937480190041801</v>
      </c>
      <c r="Z65" s="3">
        <v>0.81795433410940699</v>
      </c>
      <c r="AA65" s="3">
        <v>0.803086352166549</v>
      </c>
      <c r="AB65" s="3">
        <v>0.34538641571998502</v>
      </c>
      <c r="AC65" s="3">
        <v>0.56758177280426003</v>
      </c>
      <c r="AD65" s="3">
        <v>0.381541937589645</v>
      </c>
      <c r="AE65" s="3">
        <v>0.32436633110046298</v>
      </c>
      <c r="AF65" s="3">
        <v>0.53844147920608498</v>
      </c>
      <c r="AG65" s="3">
        <v>0.35342770814895602</v>
      </c>
    </row>
    <row r="66" spans="1:33" x14ac:dyDescent="0.45">
      <c r="A66" s="3" t="s">
        <v>35</v>
      </c>
      <c r="B66" s="3">
        <v>0</v>
      </c>
      <c r="C66" s="3">
        <v>0.5</v>
      </c>
      <c r="D66" s="3">
        <v>0.2</v>
      </c>
      <c r="E66" s="3">
        <v>409</v>
      </c>
      <c r="F66" s="3" t="s">
        <v>9</v>
      </c>
      <c r="G66" s="3">
        <v>29</v>
      </c>
      <c r="H66" s="3">
        <v>0.40086337924003601</v>
      </c>
      <c r="I66" s="3">
        <v>0.39808011054992598</v>
      </c>
      <c r="J66" s="3">
        <v>-1.25</v>
      </c>
      <c r="K66" s="3">
        <v>4.7291666666666599</v>
      </c>
      <c r="L66" s="3">
        <v>-1.4583333333333299</v>
      </c>
      <c r="M66" s="3">
        <v>7.1041666666666599</v>
      </c>
      <c r="N66" s="3">
        <v>-2.7083333333333299</v>
      </c>
      <c r="O66" s="3">
        <v>10.4375</v>
      </c>
      <c r="P66" s="3">
        <v>-0.40879876613407401</v>
      </c>
      <c r="Q66" s="3">
        <v>1.2328060991283001</v>
      </c>
      <c r="R66" s="3">
        <v>0.91666666666666596</v>
      </c>
      <c r="S66" s="3">
        <v>6.6547619047618998</v>
      </c>
      <c r="T66" s="3">
        <v>-0.27083333333333298</v>
      </c>
      <c r="U66" s="3">
        <v>7.2648809523809499</v>
      </c>
      <c r="V66" s="3">
        <v>0.64583333333333304</v>
      </c>
      <c r="W66" s="3">
        <v>12.7589285714285</v>
      </c>
      <c r="X66" s="3">
        <v>-0.105263420986527</v>
      </c>
      <c r="Y66" s="3">
        <v>1.33197380824484</v>
      </c>
      <c r="Z66" s="3">
        <v>0.83948841546262498</v>
      </c>
      <c r="AA66" s="3">
        <v>0.80492893433886403</v>
      </c>
      <c r="AB66" s="3">
        <v>0.35411980748176503</v>
      </c>
      <c r="AC66" s="3">
        <v>0.56789475679397505</v>
      </c>
      <c r="AD66" s="3">
        <v>0.40664216876029902</v>
      </c>
      <c r="AE66" s="3">
        <v>0.32231572270393299</v>
      </c>
      <c r="AF66" s="3">
        <v>0.53782719373703003</v>
      </c>
      <c r="AG66" s="3">
        <v>0.35364866256713801</v>
      </c>
    </row>
    <row r="67" spans="1:33" x14ac:dyDescent="0.45">
      <c r="A67" s="3" t="s">
        <v>35</v>
      </c>
      <c r="B67" s="3">
        <v>0</v>
      </c>
      <c r="C67" s="3">
        <v>0.5</v>
      </c>
      <c r="D67" s="3">
        <v>0.2</v>
      </c>
      <c r="E67" s="3">
        <v>409</v>
      </c>
      <c r="F67" s="3" t="s">
        <v>9</v>
      </c>
      <c r="G67" s="3">
        <v>30</v>
      </c>
      <c r="H67" s="3">
        <v>0.40106311440467801</v>
      </c>
      <c r="I67" s="3">
        <v>0.39550623297691301</v>
      </c>
      <c r="J67" s="3">
        <v>-0.33333333333333298</v>
      </c>
      <c r="K67" s="3">
        <v>5.4166666666666599</v>
      </c>
      <c r="L67" s="3">
        <v>-2.21875</v>
      </c>
      <c r="M67" s="3">
        <v>6.5729166666666599</v>
      </c>
      <c r="N67" s="3">
        <v>-2.5520833333333299</v>
      </c>
      <c r="O67" s="3">
        <v>9.7604166666666607</v>
      </c>
      <c r="P67" s="3">
        <v>-0.16727699982532099</v>
      </c>
      <c r="Q67" s="3">
        <v>1.2647363415483801</v>
      </c>
      <c r="R67" s="3">
        <v>-0.36011904761904701</v>
      </c>
      <c r="S67" s="3">
        <v>6.5446428571428497</v>
      </c>
      <c r="T67" s="3">
        <v>-1.1636904761904701</v>
      </c>
      <c r="U67" s="3">
        <v>7.1398809523809499</v>
      </c>
      <c r="V67" s="3">
        <v>-1.52380952380952</v>
      </c>
      <c r="W67" s="3">
        <v>12.565476190476099</v>
      </c>
      <c r="X67" s="3">
        <v>-4.97872756287039E-2</v>
      </c>
      <c r="Y67" s="3">
        <v>1.00474666029378</v>
      </c>
      <c r="Z67" s="3">
        <v>0.84463903377443705</v>
      </c>
      <c r="AA67" s="3">
        <v>0.83458584101053201</v>
      </c>
      <c r="AB67" s="3">
        <v>0.35563957691192599</v>
      </c>
      <c r="AC67" s="3">
        <v>0.56796449422836304</v>
      </c>
      <c r="AD67" s="3">
        <v>0.40970644354820202</v>
      </c>
      <c r="AE67" s="3">
        <v>0.32674577832221902</v>
      </c>
      <c r="AF67" s="3">
        <v>0.53803098201751698</v>
      </c>
      <c r="AG67" s="3">
        <v>0.36348754167556702</v>
      </c>
    </row>
    <row r="68" spans="1:33" x14ac:dyDescent="0.45">
      <c r="A68" s="3" t="s">
        <v>42</v>
      </c>
      <c r="B68" s="3">
        <v>1</v>
      </c>
      <c r="C68" s="3">
        <v>0.5</v>
      </c>
      <c r="D68" s="3">
        <v>0.2</v>
      </c>
      <c r="E68" s="3">
        <v>409</v>
      </c>
      <c r="F68" s="3" t="s">
        <v>9</v>
      </c>
      <c r="G68" s="3">
        <v>5</v>
      </c>
      <c r="H68" s="3">
        <v>0.50869172811508101</v>
      </c>
      <c r="I68" s="3">
        <v>0.457491874694824</v>
      </c>
      <c r="J68" s="3">
        <v>3.4375</v>
      </c>
      <c r="K68" s="3">
        <v>5.7708333333333304</v>
      </c>
      <c r="L68" s="3">
        <v>-0.45833333333333298</v>
      </c>
      <c r="M68" s="3">
        <v>7.7291666666666599</v>
      </c>
      <c r="N68" s="3">
        <v>2.9791666666666599</v>
      </c>
      <c r="O68" s="3">
        <v>10.7708333333333</v>
      </c>
      <c r="P68" s="3">
        <v>6.5896553891525503E-2</v>
      </c>
      <c r="Q68" s="3">
        <v>1.73151306164783</v>
      </c>
      <c r="R68" s="3">
        <v>2.1220238095238</v>
      </c>
      <c r="S68" s="3">
        <v>7.4136904761904701</v>
      </c>
      <c r="T68" s="3">
        <v>-7.4404761904761904E-2</v>
      </c>
      <c r="U68" s="3">
        <v>10.1636904761904</v>
      </c>
      <c r="V68" s="3">
        <v>2.0476190476190399</v>
      </c>
      <c r="W68" s="3">
        <v>15.1845238095238</v>
      </c>
      <c r="X68" s="3">
        <v>0.142896750443778</v>
      </c>
      <c r="Y68" s="3">
        <v>2.0422370859443402</v>
      </c>
      <c r="Z68" s="3">
        <v>0.81488875275022099</v>
      </c>
      <c r="AA68" s="3">
        <v>0.76838566962440102</v>
      </c>
      <c r="AB68" s="3">
        <v>0.31848722696304299</v>
      </c>
      <c r="AC68" s="3">
        <v>0.56698232889175404</v>
      </c>
      <c r="AD68" s="3">
        <v>0.323280990123748</v>
      </c>
      <c r="AE68" s="3">
        <v>0.30745789408683699</v>
      </c>
      <c r="AF68" s="3">
        <v>0.53788936138152998</v>
      </c>
      <c r="AG68" s="3">
        <v>0.31085273623466397</v>
      </c>
    </row>
    <row r="69" spans="1:33" x14ac:dyDescent="0.45">
      <c r="A69" s="3" t="s">
        <v>42</v>
      </c>
      <c r="B69" s="3">
        <v>1</v>
      </c>
      <c r="C69" s="3">
        <v>0.5</v>
      </c>
      <c r="D69" s="3">
        <v>0.2</v>
      </c>
      <c r="E69" s="3">
        <v>409</v>
      </c>
      <c r="F69" s="3" t="s">
        <v>9</v>
      </c>
      <c r="G69" s="3">
        <v>14</v>
      </c>
      <c r="H69" s="3">
        <v>0.45101666450500399</v>
      </c>
      <c r="I69" s="3">
        <v>0.40869164466857899</v>
      </c>
      <c r="J69" s="3">
        <v>1.9270833333333299</v>
      </c>
      <c r="K69" s="3">
        <v>4.6979166666666599</v>
      </c>
      <c r="L69" s="3">
        <v>-1.1875</v>
      </c>
      <c r="M69" s="3">
        <v>7.5625</v>
      </c>
      <c r="N69" s="3">
        <v>0.73958333333333304</v>
      </c>
      <c r="O69" s="3">
        <v>10.9479166666666</v>
      </c>
      <c r="P69" s="3">
        <v>-7.6647133191734301E-2</v>
      </c>
      <c r="Q69" s="3">
        <v>1.46652116246897</v>
      </c>
      <c r="R69" s="3">
        <v>-9.5238095238095205E-2</v>
      </c>
      <c r="S69" s="3">
        <v>5.9166666666666599</v>
      </c>
      <c r="T69" s="3">
        <v>-1.64880952380952</v>
      </c>
      <c r="U69" s="3">
        <v>8.4880952380952301</v>
      </c>
      <c r="V69" s="3">
        <v>-1.74404761904761</v>
      </c>
      <c r="W69" s="3">
        <v>12.9761904761904</v>
      </c>
      <c r="X69" s="3">
        <v>-8.7165525734811899E-2</v>
      </c>
      <c r="Y69" s="3">
        <v>1.3314621244388001</v>
      </c>
      <c r="Z69" s="3">
        <v>0.81894933903460199</v>
      </c>
      <c r="AA69" s="3">
        <v>0.79778503138822698</v>
      </c>
      <c r="AB69" s="3">
        <v>0.33900904655456499</v>
      </c>
      <c r="AC69" s="3">
        <v>0.56757301092147805</v>
      </c>
      <c r="AD69" s="3">
        <v>0.37369298934936501</v>
      </c>
      <c r="AE69" s="3">
        <v>0.31756490468978799</v>
      </c>
      <c r="AF69" s="3">
        <v>0.53810656070709195</v>
      </c>
      <c r="AG69" s="3">
        <v>0.33889159560203502</v>
      </c>
    </row>
    <row r="70" spans="1:33" x14ac:dyDescent="0.45">
      <c r="A70" s="3" t="s">
        <v>42</v>
      </c>
      <c r="B70" s="3">
        <v>1</v>
      </c>
      <c r="C70" s="3">
        <v>0.5</v>
      </c>
      <c r="D70" s="3">
        <v>0.2</v>
      </c>
      <c r="E70" s="3">
        <v>409</v>
      </c>
      <c r="F70" s="3" t="s">
        <v>9</v>
      </c>
      <c r="G70" s="3">
        <v>16</v>
      </c>
      <c r="H70" s="3">
        <v>0.42737543582916199</v>
      </c>
      <c r="I70" s="3">
        <v>0.41745650768280002</v>
      </c>
      <c r="J70" s="3">
        <v>0.33333333333333298</v>
      </c>
      <c r="K70" s="3">
        <v>4.75</v>
      </c>
      <c r="L70" s="3">
        <v>0.41666666666666602</v>
      </c>
      <c r="M70" s="3">
        <v>6.6875</v>
      </c>
      <c r="N70" s="3">
        <v>0.75</v>
      </c>
      <c r="O70" s="3">
        <v>10.3333333333333</v>
      </c>
      <c r="P70" s="3">
        <v>-0.39753904248904498</v>
      </c>
      <c r="Q70" s="3">
        <v>1.3857522564331799</v>
      </c>
      <c r="R70" s="3">
        <v>-0.26785714285714202</v>
      </c>
      <c r="S70" s="3">
        <v>5.9226190476190403</v>
      </c>
      <c r="T70" s="3">
        <v>-0.163690476190476</v>
      </c>
      <c r="U70" s="3">
        <v>7.8244047619047601</v>
      </c>
      <c r="V70" s="3">
        <v>-0.43154761904761901</v>
      </c>
      <c r="W70" s="3">
        <v>12.002976190476099</v>
      </c>
      <c r="X70" s="3">
        <v>-0.30235669778454999</v>
      </c>
      <c r="Y70" s="3">
        <v>1.4410607948493901</v>
      </c>
      <c r="Z70" s="3">
        <v>0.79925262959215904</v>
      </c>
      <c r="AA70" s="3">
        <v>0.78405664074922099</v>
      </c>
      <c r="AB70" s="3">
        <v>0.348195970058441</v>
      </c>
      <c r="AC70" s="3">
        <v>0.56776678562164296</v>
      </c>
      <c r="AD70" s="3">
        <v>0.38811311125755299</v>
      </c>
      <c r="AE70" s="3">
        <v>0.30736458301544101</v>
      </c>
      <c r="AF70" s="3">
        <v>0.53838145732879605</v>
      </c>
      <c r="AG70" s="3">
        <v>0.31148093938827498</v>
      </c>
    </row>
    <row r="71" spans="1:33" x14ac:dyDescent="0.45">
      <c r="A71" s="3" t="s">
        <v>42</v>
      </c>
      <c r="B71" s="3">
        <v>1</v>
      </c>
      <c r="C71" s="3">
        <v>0.5</v>
      </c>
      <c r="D71" s="3">
        <v>0.2</v>
      </c>
      <c r="E71" s="3">
        <v>409</v>
      </c>
      <c r="F71" s="3" t="s">
        <v>9</v>
      </c>
      <c r="G71" s="3">
        <v>17</v>
      </c>
      <c r="H71" s="3">
        <v>0.43576654791831898</v>
      </c>
      <c r="I71" s="3">
        <v>0.403489530086517</v>
      </c>
      <c r="J71" s="3">
        <v>-3</v>
      </c>
      <c r="K71" s="3">
        <v>4.8333333333333304</v>
      </c>
      <c r="L71" s="3">
        <v>-1.4270833333333299</v>
      </c>
      <c r="M71" s="3">
        <v>8.78125</v>
      </c>
      <c r="N71" s="3">
        <v>-4.4270833333333304</v>
      </c>
      <c r="O71" s="3">
        <v>11.3854166666666</v>
      </c>
      <c r="P71" s="3">
        <v>-0.80065711933391104</v>
      </c>
      <c r="Q71" s="3">
        <v>1.62116245671786</v>
      </c>
      <c r="R71" s="3">
        <v>-0.61607142857142805</v>
      </c>
      <c r="S71" s="3">
        <v>6.7946428571428497</v>
      </c>
      <c r="T71" s="3">
        <v>-0.19642857142857101</v>
      </c>
      <c r="U71" s="3">
        <v>7.8273809523809499</v>
      </c>
      <c r="V71" s="3">
        <v>-0.8125</v>
      </c>
      <c r="W71" s="3">
        <v>12.907738095238001</v>
      </c>
      <c r="X71" s="3">
        <v>-8.7909136290622303E-2</v>
      </c>
      <c r="Y71" s="3">
        <v>1.5252782923334101</v>
      </c>
      <c r="Z71" s="3">
        <v>0.85703282367702205</v>
      </c>
      <c r="AA71" s="3">
        <v>0.80902213667605105</v>
      </c>
      <c r="AB71" s="3">
        <v>0.34739428758621199</v>
      </c>
      <c r="AC71" s="3">
        <v>0.56759881973266602</v>
      </c>
      <c r="AD71" s="3">
        <v>0.38813048601150502</v>
      </c>
      <c r="AE71" s="3">
        <v>0.31219822168350198</v>
      </c>
      <c r="AF71" s="3">
        <v>0.53729039430618197</v>
      </c>
      <c r="AG71" s="3">
        <v>0.33383950591087302</v>
      </c>
    </row>
    <row r="72" spans="1:33" x14ac:dyDescent="0.45">
      <c r="A72" s="3" t="s">
        <v>42</v>
      </c>
      <c r="B72" s="3">
        <v>1</v>
      </c>
      <c r="C72" s="3">
        <v>0.5</v>
      </c>
      <c r="D72" s="3">
        <v>0.2</v>
      </c>
      <c r="E72" s="3">
        <v>409</v>
      </c>
      <c r="F72" s="3" t="s">
        <v>9</v>
      </c>
      <c r="G72" s="3">
        <v>19</v>
      </c>
      <c r="H72" s="3">
        <v>0.419729143381118</v>
      </c>
      <c r="I72" s="3">
        <v>0.410213112831115</v>
      </c>
      <c r="J72" s="3">
        <v>1.0833333333333299</v>
      </c>
      <c r="K72" s="3">
        <v>4.625</v>
      </c>
      <c r="L72" s="3">
        <v>-2.0625</v>
      </c>
      <c r="M72" s="3">
        <v>6.8333333333333304</v>
      </c>
      <c r="N72" s="3">
        <v>-0.97916666666666596</v>
      </c>
      <c r="O72" s="3">
        <v>10.2083333333333</v>
      </c>
      <c r="P72" s="3">
        <v>2.14966573277772E-2</v>
      </c>
      <c r="Q72" s="3">
        <v>1.34232657912398</v>
      </c>
      <c r="R72" s="3">
        <v>0.91071428571428503</v>
      </c>
      <c r="S72" s="3">
        <v>6.3690476190476097</v>
      </c>
      <c r="T72" s="3">
        <v>6.8452380952380903E-2</v>
      </c>
      <c r="U72" s="3">
        <v>7.4851190476190403</v>
      </c>
      <c r="V72" s="3">
        <v>0.97916666666666596</v>
      </c>
      <c r="W72" s="3">
        <v>12.0386904761904</v>
      </c>
      <c r="X72" s="3">
        <v>2.2209279010603701E-3</v>
      </c>
      <c r="Y72" s="3">
        <v>1.32589690008756</v>
      </c>
      <c r="Z72" s="3">
        <v>0.79105308625156301</v>
      </c>
      <c r="AA72" s="3">
        <v>0.79883354528467898</v>
      </c>
      <c r="AB72" s="3">
        <v>0.34890916943550099</v>
      </c>
      <c r="AC72" s="3">
        <v>0.56766068935394198</v>
      </c>
      <c r="AD72" s="3">
        <v>0.39229711890220598</v>
      </c>
      <c r="AE72" s="3">
        <v>0.31003543734550398</v>
      </c>
      <c r="AF72" s="3">
        <v>0.53778523206710804</v>
      </c>
      <c r="AG72" s="3">
        <v>0.31626781821250899</v>
      </c>
    </row>
    <row r="73" spans="1:33" x14ac:dyDescent="0.45">
      <c r="A73" s="3" t="s">
        <v>42</v>
      </c>
      <c r="B73" s="3">
        <v>1</v>
      </c>
      <c r="C73" s="3">
        <v>0.5</v>
      </c>
      <c r="D73" s="3">
        <v>0.2</v>
      </c>
      <c r="E73" s="3">
        <v>409</v>
      </c>
      <c r="F73" s="3" t="s">
        <v>9</v>
      </c>
      <c r="G73" s="3">
        <v>20</v>
      </c>
      <c r="H73" s="3">
        <v>0.42869159579277</v>
      </c>
      <c r="I73" s="3">
        <v>0.40184688568115201</v>
      </c>
      <c r="J73" s="3">
        <v>-0.38541666666666602</v>
      </c>
      <c r="K73" s="3">
        <v>5.1145833333333304</v>
      </c>
      <c r="L73" s="3">
        <v>-1.875</v>
      </c>
      <c r="M73" s="3">
        <v>7.7083333333333304</v>
      </c>
      <c r="N73" s="3">
        <v>-2.2604166666666599</v>
      </c>
      <c r="O73" s="3">
        <v>11.0520833333333</v>
      </c>
      <c r="P73" s="3">
        <v>-0.30168169872923301</v>
      </c>
      <c r="Q73" s="3">
        <v>1.44472877972658</v>
      </c>
      <c r="R73" s="3">
        <v>-0.19345238095237999</v>
      </c>
      <c r="S73" s="3">
        <v>5.8303571428571397</v>
      </c>
      <c r="T73" s="3">
        <v>0.23511904761904701</v>
      </c>
      <c r="U73" s="3">
        <v>6.9196428571428497</v>
      </c>
      <c r="V73" s="3">
        <v>4.1666666666666602E-2</v>
      </c>
      <c r="W73" s="3">
        <v>11.327380952380899</v>
      </c>
      <c r="X73" s="3">
        <v>-0.24459031568919101</v>
      </c>
      <c r="Y73" s="3">
        <v>1.1027547476422701</v>
      </c>
      <c r="Z73" s="3">
        <v>0.84033432891953896</v>
      </c>
      <c r="AA73" s="3">
        <v>0.82166535191670897</v>
      </c>
      <c r="AB73" s="3">
        <v>0.34618201851844699</v>
      </c>
      <c r="AC73" s="3">
        <v>0.56800931692123402</v>
      </c>
      <c r="AD73" s="3">
        <v>0.385818392038345</v>
      </c>
      <c r="AE73" s="3">
        <v>0.32478395104408198</v>
      </c>
      <c r="AF73" s="3">
        <v>0.538407683372497</v>
      </c>
      <c r="AG73" s="3">
        <v>0.35964897274971003</v>
      </c>
    </row>
    <row r="74" spans="1:33" x14ac:dyDescent="0.45">
      <c r="A74" s="3" t="s">
        <v>42</v>
      </c>
      <c r="B74" s="3">
        <v>1</v>
      </c>
      <c r="C74" s="3">
        <v>0.5</v>
      </c>
      <c r="D74" s="3">
        <v>0.2</v>
      </c>
      <c r="E74" s="3">
        <v>409</v>
      </c>
      <c r="F74" s="3" t="s">
        <v>9</v>
      </c>
      <c r="G74" s="3">
        <v>21</v>
      </c>
      <c r="H74" s="3">
        <v>0.41918438673019398</v>
      </c>
      <c r="I74" s="3">
        <v>0.40714365243911699</v>
      </c>
      <c r="J74" s="3">
        <v>-1.53125</v>
      </c>
      <c r="K74" s="3">
        <v>4.7395833333333304</v>
      </c>
      <c r="L74" s="3">
        <v>0.72916666666666596</v>
      </c>
      <c r="M74" s="3">
        <v>8.8958333333333304</v>
      </c>
      <c r="N74" s="3">
        <v>-0.80208333333333304</v>
      </c>
      <c r="O74" s="3">
        <v>11.5729166666666</v>
      </c>
      <c r="P74" s="3">
        <v>-0.92722569156294599</v>
      </c>
      <c r="Q74" s="3">
        <v>1.67503367022497</v>
      </c>
      <c r="R74" s="3">
        <v>-0.69642857142857095</v>
      </c>
      <c r="S74" s="3">
        <v>6.2857142857142803</v>
      </c>
      <c r="T74" s="3">
        <v>0.214285714285714</v>
      </c>
      <c r="U74" s="3">
        <v>8.1666666666666607</v>
      </c>
      <c r="V74" s="3">
        <v>-0.48214285714285698</v>
      </c>
      <c r="W74" s="3">
        <v>13.3214285714285</v>
      </c>
      <c r="X74" s="3">
        <v>-0.463140598987272</v>
      </c>
      <c r="Y74" s="3">
        <v>1.3676737584071199</v>
      </c>
      <c r="Z74" s="3">
        <v>0.82911325059979601</v>
      </c>
      <c r="AA74" s="3">
        <v>0.79783006369741705</v>
      </c>
      <c r="AB74" s="3">
        <v>0.36084848642349199</v>
      </c>
      <c r="AC74" s="3">
        <v>0.56791239976882901</v>
      </c>
      <c r="AD74" s="3">
        <v>0.41908311843871998</v>
      </c>
      <c r="AE74" s="3">
        <v>0.32079151272773698</v>
      </c>
      <c r="AF74" s="3">
        <v>0.538654804229736</v>
      </c>
      <c r="AG74" s="3">
        <v>0.344065010547637</v>
      </c>
    </row>
    <row r="75" spans="1:33" x14ac:dyDescent="0.45">
      <c r="A75" s="3" t="s">
        <v>42</v>
      </c>
      <c r="B75" s="3">
        <v>1</v>
      </c>
      <c r="C75" s="3">
        <v>0.5</v>
      </c>
      <c r="D75" s="3">
        <v>0.2</v>
      </c>
      <c r="E75" s="3">
        <v>409</v>
      </c>
      <c r="F75" s="3" t="s">
        <v>9</v>
      </c>
      <c r="G75" s="3">
        <v>22</v>
      </c>
      <c r="H75" s="3">
        <v>0.40206372737884499</v>
      </c>
      <c r="I75" s="3">
        <v>0.38620108366012501</v>
      </c>
      <c r="J75" s="3">
        <v>-1.21875</v>
      </c>
      <c r="K75" s="3">
        <v>4.5104166666666599</v>
      </c>
      <c r="L75" s="3">
        <v>-0.42708333333333298</v>
      </c>
      <c r="M75" s="3">
        <v>7.65625</v>
      </c>
      <c r="N75" s="3">
        <v>-1.6458333333333299</v>
      </c>
      <c r="O75" s="3">
        <v>10.6875</v>
      </c>
      <c r="P75" s="3">
        <v>-0.62756929571919895</v>
      </c>
      <c r="Q75" s="3">
        <v>1.3575965294833801</v>
      </c>
      <c r="R75" s="3">
        <v>0.19345238095237999</v>
      </c>
      <c r="S75" s="3">
        <v>6.2470238095238004</v>
      </c>
      <c r="T75" s="3">
        <v>-0.47321428571428498</v>
      </c>
      <c r="U75" s="3">
        <v>7.3422619047618998</v>
      </c>
      <c r="V75" s="3">
        <v>-0.27976190476190399</v>
      </c>
      <c r="W75" s="3">
        <v>12.410714285714199</v>
      </c>
      <c r="X75" s="3">
        <v>-0.11012180517643699</v>
      </c>
      <c r="Y75" s="3">
        <v>1.0854128403376899</v>
      </c>
      <c r="Z75" s="3">
        <v>0.850858133525072</v>
      </c>
      <c r="AA75" s="3">
        <v>0.81398125832439505</v>
      </c>
      <c r="AB75" s="3">
        <v>0.35416147112846302</v>
      </c>
      <c r="AC75" s="3">
        <v>0.56788444519042902</v>
      </c>
      <c r="AD75" s="3">
        <v>0.40655741095542902</v>
      </c>
      <c r="AE75" s="3">
        <v>0.32343471050262401</v>
      </c>
      <c r="AF75" s="3">
        <v>0.53770250082015902</v>
      </c>
      <c r="AG75" s="3">
        <v>0.35684540867805398</v>
      </c>
    </row>
    <row r="76" spans="1:33" x14ac:dyDescent="0.45">
      <c r="A76" s="3" t="s">
        <v>42</v>
      </c>
      <c r="B76" s="3">
        <v>1</v>
      </c>
      <c r="C76" s="3">
        <v>0.5</v>
      </c>
      <c r="D76" s="3">
        <v>0.2</v>
      </c>
      <c r="E76" s="3">
        <v>409</v>
      </c>
      <c r="F76" s="3" t="s">
        <v>9</v>
      </c>
      <c r="G76" s="3">
        <v>23</v>
      </c>
      <c r="H76" s="3">
        <v>0.41025418043136502</v>
      </c>
      <c r="I76" s="3">
        <v>0.39290106296539301</v>
      </c>
      <c r="J76" s="3">
        <v>-1.3541666666666601</v>
      </c>
      <c r="K76" s="3">
        <v>4.9166666666666599</v>
      </c>
      <c r="L76" s="3">
        <v>-0.69791666666666596</v>
      </c>
      <c r="M76" s="3">
        <v>6.6770833333333304</v>
      </c>
      <c r="N76" s="3">
        <v>-2.0520833333333299</v>
      </c>
      <c r="O76" s="3">
        <v>10.21875</v>
      </c>
      <c r="P76" s="3">
        <v>-0.47195220126905602</v>
      </c>
      <c r="Q76" s="3">
        <v>1.2460951019273601</v>
      </c>
      <c r="R76" s="3">
        <v>2.6785714285714201E-2</v>
      </c>
      <c r="S76" s="3">
        <v>5.7351190476190403</v>
      </c>
      <c r="T76" s="3">
        <v>-1.4375</v>
      </c>
      <c r="U76" s="3">
        <v>7.5208333333333304</v>
      </c>
      <c r="V76" s="3">
        <v>-1.41071428571428</v>
      </c>
      <c r="W76" s="3">
        <v>11.797619047618999</v>
      </c>
      <c r="X76" s="3">
        <v>7.8556283186941508E-3</v>
      </c>
      <c r="Y76" s="3">
        <v>1.15200455240949</v>
      </c>
      <c r="Z76" s="3">
        <v>0.84656887544790305</v>
      </c>
      <c r="AA76" s="3">
        <v>0.82190292445145796</v>
      </c>
      <c r="AB76" s="3">
        <v>0.35648030042648299</v>
      </c>
      <c r="AC76" s="3">
        <v>0.56775003671646096</v>
      </c>
      <c r="AD76" s="3">
        <v>0.41342803835868802</v>
      </c>
      <c r="AE76" s="3">
        <v>0.323514074087142</v>
      </c>
      <c r="AF76" s="3">
        <v>0.53835958242416304</v>
      </c>
      <c r="AG76" s="3">
        <v>0.35354167222976601</v>
      </c>
    </row>
    <row r="77" spans="1:33" x14ac:dyDescent="0.45">
      <c r="A77" s="3" t="s">
        <v>42</v>
      </c>
      <c r="B77" s="3">
        <v>1</v>
      </c>
      <c r="C77" s="3">
        <v>0.5</v>
      </c>
      <c r="D77" s="3">
        <v>0.2</v>
      </c>
      <c r="E77" s="3">
        <v>409</v>
      </c>
      <c r="F77" s="3" t="s">
        <v>9</v>
      </c>
      <c r="G77" s="3">
        <v>24</v>
      </c>
      <c r="H77" s="3">
        <v>0.39932477474212602</v>
      </c>
      <c r="I77" s="3">
        <v>0.3986496925354</v>
      </c>
      <c r="J77" s="3">
        <v>4.5729166666666599</v>
      </c>
      <c r="K77" s="3">
        <v>6.46875</v>
      </c>
      <c r="L77" s="3">
        <v>0.375</v>
      </c>
      <c r="M77" s="3">
        <v>7.1041666666666599</v>
      </c>
      <c r="N77" s="3">
        <v>4.9479166666666599</v>
      </c>
      <c r="O77" s="3">
        <v>11.1979166666666</v>
      </c>
      <c r="P77" s="3">
        <v>-0.114461604024441</v>
      </c>
      <c r="Q77" s="3">
        <v>1.7077314028381001</v>
      </c>
      <c r="R77" s="3">
        <v>-0.85714285714285698</v>
      </c>
      <c r="S77" s="3">
        <v>6.4940476190476097</v>
      </c>
      <c r="T77" s="3">
        <v>0.90476190476190399</v>
      </c>
      <c r="U77" s="3">
        <v>7.6904761904761898</v>
      </c>
      <c r="V77" s="3">
        <v>4.7619047619047603E-2</v>
      </c>
      <c r="W77" s="3">
        <v>12.6666666666666</v>
      </c>
      <c r="X77" s="3">
        <v>-0.41469893020608201</v>
      </c>
      <c r="Y77" s="3">
        <v>1.2907693898544901</v>
      </c>
      <c r="Z77" s="3">
        <v>0.82873067865442296</v>
      </c>
      <c r="AA77" s="3">
        <v>0.80508720922225596</v>
      </c>
      <c r="AB77" s="3">
        <v>0.35909548401832497</v>
      </c>
      <c r="AC77" s="3">
        <v>0.56789094209670998</v>
      </c>
      <c r="AD77" s="3">
        <v>0.41509857773780801</v>
      </c>
      <c r="AE77" s="3">
        <v>0.32935506105422901</v>
      </c>
      <c r="AF77" s="3">
        <v>0.537736356258392</v>
      </c>
      <c r="AG77" s="3">
        <v>0.36180448532104398</v>
      </c>
    </row>
    <row r="78" spans="1:33" x14ac:dyDescent="0.45">
      <c r="A78" s="3" t="s">
        <v>42</v>
      </c>
      <c r="B78" s="3">
        <v>1</v>
      </c>
      <c r="C78" s="3">
        <v>0.5</v>
      </c>
      <c r="D78" s="3">
        <v>0.2</v>
      </c>
      <c r="E78" s="3">
        <v>409</v>
      </c>
      <c r="F78" s="3" t="s">
        <v>9</v>
      </c>
      <c r="G78" s="3">
        <v>25</v>
      </c>
      <c r="H78" s="3">
        <v>0.41019609570503202</v>
      </c>
      <c r="I78" s="3">
        <v>0.41646742820739702</v>
      </c>
      <c r="J78" s="3">
        <v>-3.125E-2</v>
      </c>
      <c r="K78" s="3">
        <v>4.5520833333333304</v>
      </c>
      <c r="L78" s="3">
        <v>-1.125</v>
      </c>
      <c r="M78" s="3">
        <v>7.3958333333333304</v>
      </c>
      <c r="N78" s="3">
        <v>-1.15625</v>
      </c>
      <c r="O78" s="3">
        <v>10.65625</v>
      </c>
      <c r="P78" s="3">
        <v>-0.36871466521482699</v>
      </c>
      <c r="Q78" s="3">
        <v>1.40585440524602</v>
      </c>
      <c r="R78" s="3">
        <v>-0.62797619047619002</v>
      </c>
      <c r="S78" s="3">
        <v>5.9851190476190403</v>
      </c>
      <c r="T78" s="3">
        <v>-0.67559523809523803</v>
      </c>
      <c r="U78" s="3">
        <v>8.2470238095238102</v>
      </c>
      <c r="V78" s="3">
        <v>-1.3035714285714199</v>
      </c>
      <c r="W78" s="3">
        <v>12.8630952380952</v>
      </c>
      <c r="X78" s="3">
        <v>-0.20344547633283799</v>
      </c>
      <c r="Y78" s="3">
        <v>1.4553703272895699</v>
      </c>
      <c r="Z78" s="3">
        <v>0.83256332188009796</v>
      </c>
      <c r="AA78" s="3">
        <v>0.81158345072576898</v>
      </c>
      <c r="AB78" s="3">
        <v>0.36120036244392301</v>
      </c>
      <c r="AC78" s="3">
        <v>0.56799298524856501</v>
      </c>
      <c r="AD78" s="3">
        <v>0.419749945402145</v>
      </c>
      <c r="AE78" s="3">
        <v>0.319458127021789</v>
      </c>
      <c r="AF78" s="3">
        <v>0.53827083110809304</v>
      </c>
      <c r="AG78" s="3">
        <v>0.34598964452743503</v>
      </c>
    </row>
    <row r="79" spans="1:33" x14ac:dyDescent="0.45">
      <c r="A79" s="3" t="s">
        <v>42</v>
      </c>
      <c r="B79" s="3">
        <v>1</v>
      </c>
      <c r="C79" s="3">
        <v>0.5</v>
      </c>
      <c r="D79" s="3">
        <v>0.2</v>
      </c>
      <c r="E79" s="3">
        <v>409</v>
      </c>
      <c r="F79" s="3" t="s">
        <v>9</v>
      </c>
      <c r="G79" s="3">
        <v>26</v>
      </c>
      <c r="H79" s="3">
        <v>0.41334775090217502</v>
      </c>
      <c r="I79" s="3">
        <v>0.41498050093650801</v>
      </c>
      <c r="J79" s="3">
        <v>0.63541666666666596</v>
      </c>
      <c r="K79" s="3">
        <v>4.4479166666666599</v>
      </c>
      <c r="L79" s="3">
        <v>0.70833333333333304</v>
      </c>
      <c r="M79" s="3">
        <v>6.5</v>
      </c>
      <c r="N79" s="3">
        <v>1.34375</v>
      </c>
      <c r="O79" s="3">
        <v>9.1770833333333304</v>
      </c>
      <c r="P79" s="3">
        <v>-0.499504266415497</v>
      </c>
      <c r="Q79" s="3">
        <v>1.3849192931437599</v>
      </c>
      <c r="R79" s="3">
        <v>1.3244047619047601</v>
      </c>
      <c r="S79" s="3">
        <v>7.0803571428571397</v>
      </c>
      <c r="T79" s="3">
        <v>-0.77380952380952295</v>
      </c>
      <c r="U79" s="3">
        <v>8.1309523809523796</v>
      </c>
      <c r="V79" s="3">
        <v>0.55059523809523803</v>
      </c>
      <c r="W79" s="3">
        <v>12.8839285714285</v>
      </c>
      <c r="X79" s="3">
        <v>5.7266615845185102E-2</v>
      </c>
      <c r="Y79" s="3">
        <v>1.60803408371116</v>
      </c>
      <c r="Z79" s="3">
        <v>0.83857272441491504</v>
      </c>
      <c r="AA79" s="3">
        <v>0.81329645811498497</v>
      </c>
      <c r="AB79" s="3">
        <v>0.353537768125534</v>
      </c>
      <c r="AC79" s="3">
        <v>0.56753748655319203</v>
      </c>
      <c r="AD79" s="3">
        <v>0.40547910332679699</v>
      </c>
      <c r="AE79" s="3">
        <v>0.32208698987960799</v>
      </c>
      <c r="AF79" s="3">
        <v>0.53800392150878895</v>
      </c>
      <c r="AG79" s="3">
        <v>0.35329452157020502</v>
      </c>
    </row>
    <row r="80" spans="1:33" x14ac:dyDescent="0.45">
      <c r="A80" s="3" t="s">
        <v>42</v>
      </c>
      <c r="B80" s="3">
        <v>1</v>
      </c>
      <c r="C80" s="3">
        <v>0.5</v>
      </c>
      <c r="D80" s="3">
        <v>0.2</v>
      </c>
      <c r="E80" s="3">
        <v>409</v>
      </c>
      <c r="F80" s="3" t="s">
        <v>9</v>
      </c>
      <c r="G80" s="3">
        <v>27</v>
      </c>
      <c r="H80" s="3">
        <v>0.40167999267578097</v>
      </c>
      <c r="I80" s="3">
        <v>0.40154141187667802</v>
      </c>
      <c r="J80" s="3">
        <v>-1.1145833333333299</v>
      </c>
      <c r="K80" s="3">
        <v>4.6354166666666599</v>
      </c>
      <c r="L80" s="3">
        <v>4.1666666666666602E-2</v>
      </c>
      <c r="M80" s="3">
        <v>7.9583333333333304</v>
      </c>
      <c r="N80" s="3">
        <v>-1.0729166666666601</v>
      </c>
      <c r="O80" s="3">
        <v>10.59375</v>
      </c>
      <c r="P80" s="3">
        <v>-0.70390143725199295</v>
      </c>
      <c r="Q80" s="3">
        <v>1.5459219656941301</v>
      </c>
      <c r="R80" s="3">
        <v>-0.69642857142857095</v>
      </c>
      <c r="S80" s="3">
        <v>6.1309523809523796</v>
      </c>
      <c r="T80" s="3">
        <v>-0.20535714285714199</v>
      </c>
      <c r="U80" s="3">
        <v>7.9255952380952301</v>
      </c>
      <c r="V80" s="3">
        <v>-0.90178571428571397</v>
      </c>
      <c r="W80" s="3">
        <v>12.5625</v>
      </c>
      <c r="X80" s="3">
        <v>-0.25770565642979598</v>
      </c>
      <c r="Y80" s="3">
        <v>1.16709093682281</v>
      </c>
      <c r="Z80" s="3">
        <v>0.85179883948329604</v>
      </c>
      <c r="AA80" s="3">
        <v>0.82036235261571999</v>
      </c>
      <c r="AB80" s="3">
        <v>0.36066892743110601</v>
      </c>
      <c r="AC80" s="3">
        <v>0.56798380613327004</v>
      </c>
      <c r="AD80" s="3">
        <v>0.41895014047622597</v>
      </c>
      <c r="AE80" s="3">
        <v>0.32076296210289001</v>
      </c>
      <c r="AF80" s="3">
        <v>0.53811496496200495</v>
      </c>
      <c r="AG80" s="3">
        <v>0.34914860129356301</v>
      </c>
    </row>
    <row r="81" spans="1:33" x14ac:dyDescent="0.45">
      <c r="A81" s="3" t="s">
        <v>42</v>
      </c>
      <c r="B81" s="3">
        <v>1</v>
      </c>
      <c r="C81" s="3">
        <v>0.5</v>
      </c>
      <c r="D81" s="3">
        <v>0.2</v>
      </c>
      <c r="E81" s="3">
        <v>409</v>
      </c>
      <c r="F81" s="3" t="s">
        <v>9</v>
      </c>
      <c r="G81" s="3">
        <v>29</v>
      </c>
      <c r="H81" s="3">
        <v>0.383396387100219</v>
      </c>
      <c r="I81" s="3">
        <v>0.40636259317397999</v>
      </c>
      <c r="J81" s="3">
        <v>-0.29166666666666602</v>
      </c>
      <c r="K81" s="3">
        <v>5.0833333333333304</v>
      </c>
      <c r="L81" s="3">
        <v>-0.83333333333333304</v>
      </c>
      <c r="M81" s="3">
        <v>8.0833333333333304</v>
      </c>
      <c r="N81" s="3">
        <v>-1.125</v>
      </c>
      <c r="O81" s="3">
        <v>11.1041666666666</v>
      </c>
      <c r="P81" s="3">
        <v>-0.49044011952245098</v>
      </c>
      <c r="Q81" s="3">
        <v>1.49170223721768</v>
      </c>
      <c r="R81" s="3">
        <v>0.238095238095238</v>
      </c>
      <c r="S81" s="3">
        <v>5.9345238095238004</v>
      </c>
      <c r="T81" s="3">
        <v>-1.3422619047619</v>
      </c>
      <c r="U81" s="3">
        <v>7.0625</v>
      </c>
      <c r="V81" s="3">
        <v>-1.1041666666666601</v>
      </c>
      <c r="W81" s="3">
        <v>11.735119047618999</v>
      </c>
      <c r="X81" s="3">
        <v>0.18821870519963299</v>
      </c>
      <c r="Y81" s="3">
        <v>1.1129258055001101</v>
      </c>
      <c r="Z81" s="3">
        <v>0.83590797509556103</v>
      </c>
      <c r="AA81" s="3">
        <v>0.802757819158611</v>
      </c>
      <c r="AB81" s="3">
        <v>0.36692351102828902</v>
      </c>
      <c r="AC81" s="3">
        <v>0.56802022457122803</v>
      </c>
      <c r="AD81" s="3">
        <v>0.43098065257072399</v>
      </c>
      <c r="AE81" s="3">
        <v>0.32055646181106501</v>
      </c>
      <c r="AF81" s="3">
        <v>0.538136005401611</v>
      </c>
      <c r="AG81" s="3">
        <v>0.34534081816673201</v>
      </c>
    </row>
    <row r="82" spans="1:33" x14ac:dyDescent="0.45">
      <c r="A82" s="3" t="s">
        <v>43</v>
      </c>
      <c r="B82" s="3">
        <v>2</v>
      </c>
      <c r="C82" s="3">
        <v>0.5</v>
      </c>
      <c r="D82" s="3">
        <v>0.2</v>
      </c>
      <c r="E82" s="3">
        <v>409</v>
      </c>
      <c r="F82" s="3" t="s">
        <v>9</v>
      </c>
      <c r="G82" s="3">
        <v>5</v>
      </c>
      <c r="H82" s="3">
        <v>0.47382396459579401</v>
      </c>
      <c r="I82" s="3">
        <v>0.435649514198303</v>
      </c>
      <c r="J82" s="3">
        <v>2.8854166666666599</v>
      </c>
      <c r="K82" s="3">
        <v>5.4270833333333304</v>
      </c>
      <c r="L82" s="3">
        <v>2.46875</v>
      </c>
      <c r="M82" s="3">
        <v>7.1770833333333304</v>
      </c>
      <c r="N82" s="3">
        <v>5.3541666666666599</v>
      </c>
      <c r="O82" s="3">
        <v>10.9791666666666</v>
      </c>
      <c r="P82" s="3">
        <v>-6.8581096169871403E-2</v>
      </c>
      <c r="Q82" s="3">
        <v>1.66883783028227</v>
      </c>
      <c r="R82" s="3">
        <v>1.1755952380952299</v>
      </c>
      <c r="S82" s="3">
        <v>6.2113095238095202</v>
      </c>
      <c r="T82" s="3">
        <v>2.1101190476190399</v>
      </c>
      <c r="U82" s="3">
        <v>8.6577380952380896</v>
      </c>
      <c r="V82" s="3">
        <v>3.2857142857142798</v>
      </c>
      <c r="W82" s="3">
        <v>12.7380952380952</v>
      </c>
      <c r="X82" s="3">
        <v>-0.46477349179385302</v>
      </c>
      <c r="Y82" s="3">
        <v>1.5697293444146601</v>
      </c>
      <c r="Z82" s="3">
        <v>0.81059653533848297</v>
      </c>
      <c r="AA82" s="3">
        <v>0.80307456926630105</v>
      </c>
      <c r="AB82" s="3">
        <v>0.32435306906700101</v>
      </c>
      <c r="AC82" s="3">
        <v>0.56685543060302701</v>
      </c>
      <c r="AD82" s="3">
        <v>0.33391693234443598</v>
      </c>
      <c r="AE82" s="3">
        <v>0.31311747431754999</v>
      </c>
      <c r="AF82" s="3">
        <v>0.53717839717864901</v>
      </c>
      <c r="AG82" s="3">
        <v>0.32700020074844299</v>
      </c>
    </row>
    <row r="83" spans="1:33" x14ac:dyDescent="0.45">
      <c r="A83" s="3" t="s">
        <v>43</v>
      </c>
      <c r="B83" s="3">
        <v>2</v>
      </c>
      <c r="C83" s="3">
        <v>0.5</v>
      </c>
      <c r="D83" s="3">
        <v>0.2</v>
      </c>
      <c r="E83" s="3">
        <v>409</v>
      </c>
      <c r="F83" s="3" t="s">
        <v>9</v>
      </c>
      <c r="G83" s="3">
        <v>12</v>
      </c>
      <c r="H83" s="3">
        <v>0.43380659818649198</v>
      </c>
      <c r="I83" s="3">
        <v>0.39254021644592202</v>
      </c>
      <c r="J83" s="3">
        <v>-1.4583333333333299</v>
      </c>
      <c r="K83" s="3">
        <v>4.7916666666666599</v>
      </c>
      <c r="L83" s="3">
        <v>0.26041666666666602</v>
      </c>
      <c r="M83" s="3">
        <v>7.96875</v>
      </c>
      <c r="N83" s="3">
        <v>-1.1979166666666601</v>
      </c>
      <c r="O83" s="3">
        <v>11.0520833333333</v>
      </c>
      <c r="P83" s="3">
        <v>-0.88051401621995895</v>
      </c>
      <c r="Q83" s="3">
        <v>1.6109480263435401</v>
      </c>
      <c r="R83" s="3">
        <v>0.32440476190476097</v>
      </c>
      <c r="S83" s="3">
        <v>7.1934523809523796</v>
      </c>
      <c r="T83" s="3">
        <v>0.41666666666666602</v>
      </c>
      <c r="U83" s="3">
        <v>7.2559523809523796</v>
      </c>
      <c r="V83" s="3">
        <v>0.74107142857142805</v>
      </c>
      <c r="W83" s="3">
        <v>12.5625</v>
      </c>
      <c r="X83" s="3">
        <v>-9.70912526810596E-3</v>
      </c>
      <c r="Y83" s="3">
        <v>1.2552187125530601</v>
      </c>
      <c r="Z83" s="3">
        <v>0.84463227837370702</v>
      </c>
      <c r="AA83" s="3">
        <v>0.82201238906047602</v>
      </c>
      <c r="AB83" s="3">
        <v>0.34217777848243702</v>
      </c>
      <c r="AC83" s="3">
        <v>0.56709647178649902</v>
      </c>
      <c r="AD83" s="3">
        <v>0.37912711501121499</v>
      </c>
      <c r="AE83" s="3">
        <v>0.32202336192130998</v>
      </c>
      <c r="AF83" s="3">
        <v>0.53838026523589999</v>
      </c>
      <c r="AG83" s="3">
        <v>0.35395443439483598</v>
      </c>
    </row>
    <row r="84" spans="1:33" x14ac:dyDescent="0.45">
      <c r="A84" s="3" t="s">
        <v>43</v>
      </c>
      <c r="B84" s="3">
        <v>2</v>
      </c>
      <c r="C84" s="3">
        <v>0.5</v>
      </c>
      <c r="D84" s="3">
        <v>0.2</v>
      </c>
      <c r="E84" s="3">
        <v>409</v>
      </c>
      <c r="F84" s="3" t="s">
        <v>9</v>
      </c>
      <c r="G84" s="3">
        <v>16</v>
      </c>
      <c r="H84" s="3">
        <v>0.40781861543655301</v>
      </c>
      <c r="I84" s="3">
        <v>0.38180494308471602</v>
      </c>
      <c r="J84" s="3">
        <v>0.97916666666666596</v>
      </c>
      <c r="K84" s="3">
        <v>5</v>
      </c>
      <c r="L84" s="3">
        <v>1.0416666666666601</v>
      </c>
      <c r="M84" s="3">
        <v>5.9583333333333304</v>
      </c>
      <c r="N84" s="3">
        <v>2.0208333333333299</v>
      </c>
      <c r="O84" s="3">
        <v>10.1458333333333</v>
      </c>
      <c r="P84" s="3">
        <v>-0.33880032776184799</v>
      </c>
      <c r="Q84" s="3">
        <v>1.15367296224468</v>
      </c>
      <c r="R84" s="3">
        <v>2.9761904761904701E-2</v>
      </c>
      <c r="S84" s="3">
        <v>6.4940476190476097</v>
      </c>
      <c r="T84" s="3">
        <v>0.22023809523809501</v>
      </c>
      <c r="U84" s="3">
        <v>7.2916666666666599</v>
      </c>
      <c r="V84" s="3">
        <v>0.25</v>
      </c>
      <c r="W84" s="3">
        <v>12.4583333333333</v>
      </c>
      <c r="X84" s="3">
        <v>-0.20454432364234301</v>
      </c>
      <c r="Y84" s="3">
        <v>1.2779529025982299</v>
      </c>
      <c r="Z84" s="3">
        <v>0.83602439237565596</v>
      </c>
      <c r="AA84" s="3">
        <v>0.83016527000924401</v>
      </c>
      <c r="AB84" s="3">
        <v>0.34440791606902998</v>
      </c>
      <c r="AC84" s="3">
        <v>0.56772238016128496</v>
      </c>
      <c r="AD84" s="3">
        <v>0.38231560587882901</v>
      </c>
      <c r="AE84" s="3">
        <v>0.31443837285041798</v>
      </c>
      <c r="AF84" s="3">
        <v>0.53866285085678101</v>
      </c>
      <c r="AG84" s="3">
        <v>0.32986932992935097</v>
      </c>
    </row>
    <row r="85" spans="1:33" x14ac:dyDescent="0.45">
      <c r="A85" s="3" t="s">
        <v>43</v>
      </c>
      <c r="B85" s="3">
        <v>2</v>
      </c>
      <c r="C85" s="3">
        <v>0.5</v>
      </c>
      <c r="D85" s="3">
        <v>0.2</v>
      </c>
      <c r="E85" s="3">
        <v>409</v>
      </c>
      <c r="F85" s="3" t="s">
        <v>9</v>
      </c>
      <c r="G85" s="3">
        <v>18</v>
      </c>
      <c r="H85" s="3">
        <v>0.40933454036712602</v>
      </c>
      <c r="I85" s="3">
        <v>0.37516149878501798</v>
      </c>
      <c r="J85" s="3">
        <v>-2.375</v>
      </c>
      <c r="K85" s="3">
        <v>5.3125</v>
      </c>
      <c r="L85" s="3">
        <v>-2.8854166666666599</v>
      </c>
      <c r="M85" s="3">
        <v>7.4895833333333304</v>
      </c>
      <c r="N85" s="3">
        <v>-5.2604166666666599</v>
      </c>
      <c r="O85" s="3">
        <v>11.71875</v>
      </c>
      <c r="P85" s="3">
        <v>-0.16441426503366399</v>
      </c>
      <c r="Q85" s="3">
        <v>1.24084920091474</v>
      </c>
      <c r="R85" s="3">
        <v>-0.77976190476190399</v>
      </c>
      <c r="S85" s="3">
        <v>6.3035714285714199</v>
      </c>
      <c r="T85" s="3">
        <v>0.514880952380952</v>
      </c>
      <c r="U85" s="3">
        <v>7.8125</v>
      </c>
      <c r="V85" s="3">
        <v>-0.264880952380952</v>
      </c>
      <c r="W85" s="3">
        <v>12.8005952380952</v>
      </c>
      <c r="X85" s="3">
        <v>-0.26578116288584602</v>
      </c>
      <c r="Y85" s="3">
        <v>1.16651112506421</v>
      </c>
      <c r="Z85" s="3">
        <v>0.84976040304858802</v>
      </c>
      <c r="AA85" s="3">
        <v>0.83562137743939102</v>
      </c>
      <c r="AB85" s="3">
        <v>0.33652648329734802</v>
      </c>
      <c r="AC85" s="3">
        <v>0.56754815578460605</v>
      </c>
      <c r="AD85" s="3">
        <v>0.36519783735275202</v>
      </c>
      <c r="AE85" s="3">
        <v>0.32104277610778797</v>
      </c>
      <c r="AF85" s="3">
        <v>0.53835970163345304</v>
      </c>
      <c r="AG85" s="3">
        <v>0.35202416777610701</v>
      </c>
    </row>
    <row r="86" spans="1:33" x14ac:dyDescent="0.45">
      <c r="A86" s="3" t="s">
        <v>43</v>
      </c>
      <c r="B86" s="3">
        <v>2</v>
      </c>
      <c r="C86" s="3">
        <v>0.5</v>
      </c>
      <c r="D86" s="3">
        <v>0.2</v>
      </c>
      <c r="E86" s="3">
        <v>409</v>
      </c>
      <c r="F86" s="3" t="s">
        <v>9</v>
      </c>
      <c r="G86" s="3">
        <v>19</v>
      </c>
      <c r="H86" s="3">
        <v>0.40199598670005798</v>
      </c>
      <c r="I86" s="3">
        <v>0.36418518424034102</v>
      </c>
      <c r="J86" s="3">
        <v>-1.3125</v>
      </c>
      <c r="K86" s="3">
        <v>5.2083333333333304</v>
      </c>
      <c r="L86" s="3">
        <v>-2.3541666666666599</v>
      </c>
      <c r="M86" s="3">
        <v>7.2708333333333304</v>
      </c>
      <c r="N86" s="3">
        <v>-3.6666666666666599</v>
      </c>
      <c r="O86" s="3">
        <v>10.6041666666666</v>
      </c>
      <c r="P86" s="3">
        <v>-0.19593038773892699</v>
      </c>
      <c r="Q86" s="3">
        <v>1.21697029619888</v>
      </c>
      <c r="R86" s="3">
        <v>-0.47321428571428498</v>
      </c>
      <c r="S86" s="3">
        <v>6.6101190476190403</v>
      </c>
      <c r="T86" s="3">
        <v>0.44047619047619002</v>
      </c>
      <c r="U86" s="3">
        <v>6.8928571428571397</v>
      </c>
      <c r="V86" s="3">
        <v>-3.2738095238095198E-2</v>
      </c>
      <c r="W86" s="3">
        <v>12.419642857142801</v>
      </c>
      <c r="X86" s="3">
        <v>-0.17095279141660999</v>
      </c>
      <c r="Y86" s="3">
        <v>1.2011058949957401</v>
      </c>
      <c r="Z86" s="3">
        <v>0.85526725612061305</v>
      </c>
      <c r="AA86" s="3">
        <v>0.83977840458326702</v>
      </c>
      <c r="AB86" s="3">
        <v>0.34244573116302401</v>
      </c>
      <c r="AC86" s="3">
        <v>0.56788814067840498</v>
      </c>
      <c r="AD86" s="3">
        <v>0.37584832310676503</v>
      </c>
      <c r="AE86" s="3">
        <v>0.33391204476356501</v>
      </c>
      <c r="AF86" s="3">
        <v>0.53811621665954501</v>
      </c>
      <c r="AG86" s="3">
        <v>0.37776538729667603</v>
      </c>
    </row>
    <row r="87" spans="1:33" x14ac:dyDescent="0.45">
      <c r="A87" s="3" t="s">
        <v>43</v>
      </c>
      <c r="B87" s="3">
        <v>2</v>
      </c>
      <c r="C87" s="3">
        <v>0.5</v>
      </c>
      <c r="D87" s="3">
        <v>0.2</v>
      </c>
      <c r="E87" s="3">
        <v>409</v>
      </c>
      <c r="F87" s="3" t="s">
        <v>9</v>
      </c>
      <c r="G87" s="3">
        <v>20</v>
      </c>
      <c r="H87" s="3">
        <v>0.40146401524543701</v>
      </c>
      <c r="I87" s="3">
        <v>0.36333167552947998</v>
      </c>
      <c r="J87" s="3">
        <v>0.48958333333333298</v>
      </c>
      <c r="K87" s="3">
        <v>5.21875</v>
      </c>
      <c r="L87" s="3">
        <v>-2.3125</v>
      </c>
      <c r="M87" s="3">
        <v>6.625</v>
      </c>
      <c r="N87" s="3">
        <v>-1.8229166666666601</v>
      </c>
      <c r="O87" s="3">
        <v>9.6979166666666607</v>
      </c>
      <c r="P87" s="3">
        <v>0.245320430615004</v>
      </c>
      <c r="Q87" s="3">
        <v>1.19828578285576</v>
      </c>
      <c r="R87" s="3">
        <v>0.13095238095237999</v>
      </c>
      <c r="S87" s="3">
        <v>5.9523809523809499</v>
      </c>
      <c r="T87" s="3">
        <v>-0.35416666666666602</v>
      </c>
      <c r="U87" s="3">
        <v>6.8065476190476097</v>
      </c>
      <c r="V87" s="3">
        <v>-0.223214285714285</v>
      </c>
      <c r="W87" s="3">
        <v>11.473214285714199</v>
      </c>
      <c r="X87" s="3">
        <v>-4.1724889962509601E-2</v>
      </c>
      <c r="Y87" s="3">
        <v>1.1132172789780499</v>
      </c>
      <c r="Z87" s="3">
        <v>0.84810972148753105</v>
      </c>
      <c r="AA87" s="3">
        <v>0.83479139066180197</v>
      </c>
      <c r="AB87" s="3">
        <v>0.35101661086082397</v>
      </c>
      <c r="AC87" s="3">
        <v>0.56781113147735596</v>
      </c>
      <c r="AD87" s="3">
        <v>0.39856329560279802</v>
      </c>
      <c r="AE87" s="3">
        <v>0.31422686576843201</v>
      </c>
      <c r="AF87" s="3">
        <v>0.53748148679733199</v>
      </c>
      <c r="AG87" s="3">
        <v>0.33881014585494901</v>
      </c>
    </row>
    <row r="88" spans="1:33" x14ac:dyDescent="0.45">
      <c r="A88" s="3" t="s">
        <v>43</v>
      </c>
      <c r="B88" s="3">
        <v>2</v>
      </c>
      <c r="C88" s="3">
        <v>0.5</v>
      </c>
      <c r="D88" s="3">
        <v>0.2</v>
      </c>
      <c r="E88" s="3">
        <v>409</v>
      </c>
      <c r="F88" s="3" t="s">
        <v>9</v>
      </c>
      <c r="G88" s="3">
        <v>23</v>
      </c>
      <c r="H88" s="3">
        <v>0.37960779666900601</v>
      </c>
      <c r="I88" s="3">
        <v>0.38032504916191101</v>
      </c>
      <c r="J88" s="3">
        <v>-1.96875</v>
      </c>
      <c r="K88" s="3">
        <v>5.0104166666666599</v>
      </c>
      <c r="L88" s="3">
        <v>-1.0833333333333299</v>
      </c>
      <c r="M88" s="3">
        <v>8.8125</v>
      </c>
      <c r="N88" s="3">
        <v>-3.0520833333333299</v>
      </c>
      <c r="O88" s="3">
        <v>11.8229166666666</v>
      </c>
      <c r="P88" s="3">
        <v>-0.48628955105799399</v>
      </c>
      <c r="Q88" s="3">
        <v>1.4552721555178201</v>
      </c>
      <c r="R88" s="3">
        <v>-0.27678571428571402</v>
      </c>
      <c r="S88" s="3">
        <v>5.7648809523809499</v>
      </c>
      <c r="T88" s="3">
        <v>-0.69047619047619002</v>
      </c>
      <c r="U88" s="3">
        <v>7.1369047619047601</v>
      </c>
      <c r="V88" s="3">
        <v>-0.96726190476190399</v>
      </c>
      <c r="W88" s="3">
        <v>11.4791666666666</v>
      </c>
      <c r="X88" s="3">
        <v>-9.9850726584378005E-2</v>
      </c>
      <c r="Y88" s="3">
        <v>1.04957707713238</v>
      </c>
      <c r="Z88" s="3">
        <v>0.84651921770253202</v>
      </c>
      <c r="AA88" s="3">
        <v>0.82498630865913203</v>
      </c>
      <c r="AB88" s="3">
        <v>0.35960224270820601</v>
      </c>
      <c r="AC88" s="3">
        <v>0.56812757253646795</v>
      </c>
      <c r="AD88" s="3">
        <v>0.41618430614471402</v>
      </c>
      <c r="AE88" s="3">
        <v>0.32929390668869002</v>
      </c>
      <c r="AF88" s="3">
        <v>0.53839921951293901</v>
      </c>
      <c r="AG88" s="3">
        <v>0.35809084773063599</v>
      </c>
    </row>
    <row r="89" spans="1:33" x14ac:dyDescent="0.45">
      <c r="A89" s="3" t="s">
        <v>43</v>
      </c>
      <c r="B89" s="3">
        <v>2</v>
      </c>
      <c r="C89" s="3">
        <v>0.5</v>
      </c>
      <c r="D89" s="3">
        <v>0.2</v>
      </c>
      <c r="E89" s="3">
        <v>409</v>
      </c>
      <c r="F89" s="3" t="s">
        <v>9</v>
      </c>
      <c r="G89" s="3">
        <v>24</v>
      </c>
      <c r="H89" s="3">
        <v>0.36894807219505299</v>
      </c>
      <c r="I89" s="3">
        <v>0.39312523603439298</v>
      </c>
      <c r="J89" s="3">
        <v>1.0520833333333299</v>
      </c>
      <c r="K89" s="3">
        <v>4.4479166666666599</v>
      </c>
      <c r="L89" s="3">
        <v>1.2708333333333299</v>
      </c>
      <c r="M89" s="3">
        <v>5.875</v>
      </c>
      <c r="N89" s="3">
        <v>2.3229166666666599</v>
      </c>
      <c r="O89" s="3">
        <v>9.0729166666666607</v>
      </c>
      <c r="P89" s="3">
        <v>-0.28705027368605701</v>
      </c>
      <c r="Q89" s="3">
        <v>1.0188259160290101</v>
      </c>
      <c r="R89" s="3">
        <v>-2.1101190476190399</v>
      </c>
      <c r="S89" s="3">
        <v>6.0744047619047601</v>
      </c>
      <c r="T89" s="3">
        <v>-1.15773809523809</v>
      </c>
      <c r="U89" s="3">
        <v>6.6815476190476097</v>
      </c>
      <c r="V89" s="3">
        <v>-3.2678571428571401</v>
      </c>
      <c r="W89" s="3">
        <v>11.6785714285714</v>
      </c>
      <c r="X89" s="3">
        <v>-0.246062069132957</v>
      </c>
      <c r="Y89" s="3">
        <v>0.96551097530111296</v>
      </c>
      <c r="Z89" s="3">
        <v>0.78817494073474703</v>
      </c>
      <c r="AA89" s="3">
        <v>0.78936513438408995</v>
      </c>
      <c r="AB89" s="3">
        <v>0.36486580967903098</v>
      </c>
      <c r="AC89" s="3">
        <v>0.56818830966949396</v>
      </c>
      <c r="AD89" s="3">
        <v>0.43329474329948398</v>
      </c>
      <c r="AE89" s="3">
        <v>0.31001141667366</v>
      </c>
      <c r="AF89" s="3">
        <v>0.53775805234909002</v>
      </c>
      <c r="AG89" s="3">
        <v>0.317843407392501</v>
      </c>
    </row>
    <row r="90" spans="1:33" x14ac:dyDescent="0.45">
      <c r="A90" s="3" t="s">
        <v>43</v>
      </c>
      <c r="B90" s="3">
        <v>2</v>
      </c>
      <c r="C90" s="3">
        <v>0.5</v>
      </c>
      <c r="D90" s="3">
        <v>0.2</v>
      </c>
      <c r="E90" s="3">
        <v>409</v>
      </c>
      <c r="F90" s="3" t="s">
        <v>9</v>
      </c>
      <c r="G90" s="3">
        <v>26</v>
      </c>
      <c r="H90" s="3">
        <v>0.37571531534194902</v>
      </c>
      <c r="I90" s="3">
        <v>0.38212165236473</v>
      </c>
      <c r="J90" s="3">
        <v>-1.6041666666666601</v>
      </c>
      <c r="K90" s="3">
        <v>5.4375</v>
      </c>
      <c r="L90" s="3">
        <v>-0.57291666666666596</v>
      </c>
      <c r="M90" s="3">
        <v>9.09375</v>
      </c>
      <c r="N90" s="3">
        <v>-2.1770833333333299</v>
      </c>
      <c r="O90" s="3">
        <v>13.28125</v>
      </c>
      <c r="P90" s="3">
        <v>-0.55829184236044405</v>
      </c>
      <c r="Q90" s="3">
        <v>1.41751647922233</v>
      </c>
      <c r="R90" s="3">
        <v>-1.4285714285714199</v>
      </c>
      <c r="S90" s="3">
        <v>6.2023809523809499</v>
      </c>
      <c r="T90" s="3">
        <v>-1.08928571428571</v>
      </c>
      <c r="U90" s="3">
        <v>7.1488095238095202</v>
      </c>
      <c r="V90" s="3">
        <v>-2.5178571428571401</v>
      </c>
      <c r="W90" s="3">
        <v>12.1845238095238</v>
      </c>
      <c r="X90" s="3">
        <v>-0.181565788743385</v>
      </c>
      <c r="Y90" s="3">
        <v>1.02756961472048</v>
      </c>
      <c r="Z90" s="3">
        <v>0.82203470446930704</v>
      </c>
      <c r="AA90" s="3">
        <v>0.79201429125934697</v>
      </c>
      <c r="AB90" s="3">
        <v>0.35940369963645902</v>
      </c>
      <c r="AC90" s="3">
        <v>0.56828558444976796</v>
      </c>
      <c r="AD90" s="3">
        <v>0.412009626626968</v>
      </c>
      <c r="AE90" s="3">
        <v>0.32079038023948597</v>
      </c>
      <c r="AF90" s="3">
        <v>0.53774964809417702</v>
      </c>
      <c r="AG90" s="3">
        <v>0.34165486693382202</v>
      </c>
    </row>
    <row r="91" spans="1:33" x14ac:dyDescent="0.45">
      <c r="A91" s="3" t="s">
        <v>43</v>
      </c>
      <c r="B91" s="3">
        <v>2</v>
      </c>
      <c r="C91" s="3">
        <v>0.5</v>
      </c>
      <c r="D91" s="3">
        <v>0.2</v>
      </c>
      <c r="E91" s="3">
        <v>409</v>
      </c>
      <c r="F91" s="3" t="s">
        <v>9</v>
      </c>
      <c r="G91" s="3">
        <v>27</v>
      </c>
      <c r="H91" s="3">
        <v>0.36348703503608698</v>
      </c>
      <c r="I91" s="3">
        <v>0.36761125922202997</v>
      </c>
      <c r="J91" s="3">
        <v>0.64583333333333304</v>
      </c>
      <c r="K91" s="3">
        <v>4.2083333333333304</v>
      </c>
      <c r="L91" s="3">
        <v>-2.15625</v>
      </c>
      <c r="M91" s="3">
        <v>6.0520833333333304</v>
      </c>
      <c r="N91" s="3">
        <v>-1.5104166666666601</v>
      </c>
      <c r="O91" s="3">
        <v>9.1145833333333304</v>
      </c>
      <c r="P91" s="3">
        <v>0.212335124037733</v>
      </c>
      <c r="Q91" s="3">
        <v>0.88672730990318005</v>
      </c>
      <c r="R91" s="3">
        <v>-0.92559523809523803</v>
      </c>
      <c r="S91" s="3">
        <v>5.8958333333333304</v>
      </c>
      <c r="T91" s="3">
        <v>-1.13095238095238</v>
      </c>
      <c r="U91" s="3">
        <v>7.0595238095238004</v>
      </c>
      <c r="V91" s="3">
        <v>-2.0565476190476102</v>
      </c>
      <c r="W91" s="3">
        <v>11.9672619047619</v>
      </c>
      <c r="X91" s="3">
        <v>-7.1042150135381302E-2</v>
      </c>
      <c r="Y91" s="3">
        <v>1.0591552596490299</v>
      </c>
      <c r="Z91" s="3">
        <v>0.83861524531855003</v>
      </c>
      <c r="AA91" s="3">
        <v>0.85519883780065897</v>
      </c>
      <c r="AB91" s="3">
        <v>0.364736497402191</v>
      </c>
      <c r="AC91" s="3">
        <v>0.56813931465148904</v>
      </c>
      <c r="AD91" s="3">
        <v>0.43156671524047802</v>
      </c>
      <c r="AE91" s="3">
        <v>0.32938793301582298</v>
      </c>
      <c r="AF91" s="3">
        <v>0.537986040115356</v>
      </c>
      <c r="AG91" s="3">
        <v>0.362644523382186</v>
      </c>
    </row>
    <row r="92" spans="1:33" x14ac:dyDescent="0.45">
      <c r="A92" s="3" t="s">
        <v>43</v>
      </c>
      <c r="B92" s="3">
        <v>2</v>
      </c>
      <c r="C92" s="3">
        <v>0.5</v>
      </c>
      <c r="D92" s="3">
        <v>0.2</v>
      </c>
      <c r="E92" s="3">
        <v>409</v>
      </c>
      <c r="F92" s="3" t="s">
        <v>9</v>
      </c>
      <c r="G92" s="3">
        <v>28</v>
      </c>
      <c r="H92" s="3">
        <v>0.37029910087585399</v>
      </c>
      <c r="I92" s="3">
        <v>0.383945882320404</v>
      </c>
      <c r="J92" s="3">
        <v>0.51041666666666596</v>
      </c>
      <c r="K92" s="3">
        <v>5.28125</v>
      </c>
      <c r="L92" s="3">
        <v>-1.6770833333333299</v>
      </c>
      <c r="M92" s="3">
        <v>6.71875</v>
      </c>
      <c r="N92" s="3">
        <v>-1.1666666666666601</v>
      </c>
      <c r="O92" s="3">
        <v>10.8333333333333</v>
      </c>
      <c r="P92" s="3">
        <v>6.5579394703810495E-2</v>
      </c>
      <c r="Q92" s="3">
        <v>1.1333296860447699</v>
      </c>
      <c r="R92" s="3">
        <v>-1.2589285714285701</v>
      </c>
      <c r="S92" s="3">
        <v>6.5744047619047601</v>
      </c>
      <c r="T92" s="3">
        <v>-0.98214285714285698</v>
      </c>
      <c r="U92" s="3">
        <v>6.7559523809523796</v>
      </c>
      <c r="V92" s="3">
        <v>-2.2410714285714199</v>
      </c>
      <c r="W92" s="3">
        <v>11.7589285714285</v>
      </c>
      <c r="X92" s="3">
        <v>-0.13816597820624499</v>
      </c>
      <c r="Y92" s="3">
        <v>1.0041818750678999</v>
      </c>
      <c r="Z92" s="3">
        <v>0.83806442948523496</v>
      </c>
      <c r="AA92" s="3">
        <v>0.81034008490419895</v>
      </c>
      <c r="AB92" s="3">
        <v>0.359497129917144</v>
      </c>
      <c r="AC92" s="3">
        <v>0.56815308332443204</v>
      </c>
      <c r="AD92" s="3">
        <v>0.41661113500594998</v>
      </c>
      <c r="AE92" s="3">
        <v>0.315299302339553</v>
      </c>
      <c r="AF92" s="3">
        <v>0.53786653280258101</v>
      </c>
      <c r="AG92" s="3">
        <v>0.329209804534912</v>
      </c>
    </row>
    <row r="93" spans="1:33" x14ac:dyDescent="0.45">
      <c r="A93" s="3" t="s">
        <v>43</v>
      </c>
      <c r="B93" s="3">
        <v>2</v>
      </c>
      <c r="C93" s="3">
        <v>0.5</v>
      </c>
      <c r="D93" s="3">
        <v>0.2</v>
      </c>
      <c r="E93" s="3">
        <v>409</v>
      </c>
      <c r="F93" s="3" t="s">
        <v>9</v>
      </c>
      <c r="G93" s="3">
        <v>29</v>
      </c>
      <c r="H93" s="3">
        <v>0.36684665083885099</v>
      </c>
      <c r="I93" s="3">
        <v>0.40714299678802401</v>
      </c>
      <c r="J93" s="3">
        <v>7.2916666666666602E-2</v>
      </c>
      <c r="K93" s="3">
        <v>5.4270833333333304</v>
      </c>
      <c r="L93" s="3">
        <v>-2.6041666666666599</v>
      </c>
      <c r="M93" s="3">
        <v>6.9375</v>
      </c>
      <c r="N93" s="3">
        <v>-2.53125</v>
      </c>
      <c r="O93" s="3">
        <v>10.3020833333333</v>
      </c>
      <c r="P93" s="3">
        <v>9.4273650182334898E-2</v>
      </c>
      <c r="Q93" s="3">
        <v>1.11394926154495</v>
      </c>
      <c r="R93" s="3">
        <v>-2.0297619047619002</v>
      </c>
      <c r="S93" s="3">
        <v>6.4285714285714199</v>
      </c>
      <c r="T93" s="3">
        <v>-1.3660714285714199</v>
      </c>
      <c r="U93" s="3">
        <v>7.3601190476190403</v>
      </c>
      <c r="V93" s="3">
        <v>-3.3958333333333299</v>
      </c>
      <c r="W93" s="3">
        <v>12.7053571428571</v>
      </c>
      <c r="X93" s="3">
        <v>-0.294172511854223</v>
      </c>
      <c r="Y93" s="3">
        <v>1.0235917348492301</v>
      </c>
      <c r="Z93" s="3">
        <v>0.81296546518479795</v>
      </c>
      <c r="AA93" s="3">
        <v>0.80374987811533505</v>
      </c>
      <c r="AB93" s="3">
        <v>0.36324211955070401</v>
      </c>
      <c r="AC93" s="3">
        <v>0.56818819046020497</v>
      </c>
      <c r="AD93" s="3">
        <v>0.42301908135414101</v>
      </c>
      <c r="AE93" s="3">
        <v>0.30911496281623801</v>
      </c>
      <c r="AF93" s="3">
        <v>0.53751260042190496</v>
      </c>
      <c r="AG93" s="3">
        <v>0.31831485033035201</v>
      </c>
    </row>
    <row r="94" spans="1:33" x14ac:dyDescent="0.45">
      <c r="A94" s="3" t="s">
        <v>44</v>
      </c>
      <c r="B94" s="3">
        <v>4</v>
      </c>
      <c r="C94" s="3">
        <v>0.5</v>
      </c>
      <c r="D94" s="3">
        <v>0.2</v>
      </c>
      <c r="E94" s="3">
        <v>409</v>
      </c>
      <c r="F94" s="3" t="s">
        <v>9</v>
      </c>
      <c r="G94" s="3">
        <v>9</v>
      </c>
      <c r="H94" s="3">
        <v>0.43717285990714999</v>
      </c>
      <c r="I94" s="3">
        <v>0.40141186118125899</v>
      </c>
      <c r="J94" s="3">
        <v>0.9375</v>
      </c>
      <c r="K94" s="3">
        <v>5.0833333333333304</v>
      </c>
      <c r="L94" s="3">
        <v>0.36458333333333298</v>
      </c>
      <c r="M94" s="3">
        <v>6.9270833333333304</v>
      </c>
      <c r="N94" s="3">
        <v>1.3020833333333299</v>
      </c>
      <c r="O94" s="3">
        <v>9.9479166666666607</v>
      </c>
      <c r="P94" s="3">
        <v>-0.201634847634136</v>
      </c>
      <c r="Q94" s="3">
        <v>1.29020742507522</v>
      </c>
      <c r="R94" s="3">
        <v>1.8601190476190399</v>
      </c>
      <c r="S94" s="3">
        <v>6.9613095238095202</v>
      </c>
      <c r="T94" s="3">
        <v>0.47916666666666602</v>
      </c>
      <c r="U94" s="3">
        <v>7.0565476190476097</v>
      </c>
      <c r="V94" s="3">
        <v>2.33928571428571</v>
      </c>
      <c r="W94" s="3">
        <v>11.9345238095238</v>
      </c>
      <c r="X94" s="3">
        <v>6.2973770380557098E-2</v>
      </c>
      <c r="Y94" s="3">
        <v>1.4736650698254199</v>
      </c>
      <c r="Z94" s="3">
        <v>0.83329719414973302</v>
      </c>
      <c r="AA94" s="3">
        <v>0.81784462962503601</v>
      </c>
      <c r="AB94" s="3">
        <v>0.33320808410644498</v>
      </c>
      <c r="AC94" s="3">
        <v>0.56697905063629095</v>
      </c>
      <c r="AD94" s="3">
        <v>0.35943669080734197</v>
      </c>
      <c r="AE94" s="3">
        <v>0.31854322552680903</v>
      </c>
      <c r="AF94" s="3">
        <v>0.53804785013198797</v>
      </c>
      <c r="AG94" s="3">
        <v>0.34388211369514399</v>
      </c>
    </row>
    <row r="95" spans="1:33" x14ac:dyDescent="0.45">
      <c r="A95" s="3" t="s">
        <v>44</v>
      </c>
      <c r="B95" s="3">
        <v>4</v>
      </c>
      <c r="C95" s="3">
        <v>0.5</v>
      </c>
      <c r="D95" s="3">
        <v>0.2</v>
      </c>
      <c r="E95" s="3">
        <v>409</v>
      </c>
      <c r="F95" s="3" t="s">
        <v>9</v>
      </c>
      <c r="G95" s="3">
        <v>12</v>
      </c>
      <c r="H95" s="3">
        <v>0.407662123441696</v>
      </c>
      <c r="I95" s="3">
        <v>0.39016017317771901</v>
      </c>
      <c r="J95" s="3">
        <v>-2.9791666666666599</v>
      </c>
      <c r="K95" s="3">
        <v>5.0625</v>
      </c>
      <c r="L95" s="3">
        <v>-0.875</v>
      </c>
      <c r="M95" s="3">
        <v>7.2083333333333304</v>
      </c>
      <c r="N95" s="3">
        <v>-3.8541666666666599</v>
      </c>
      <c r="O95" s="3">
        <v>10.25</v>
      </c>
      <c r="P95" s="3">
        <v>-0.62397689083497399</v>
      </c>
      <c r="Q95" s="3">
        <v>1.20148066853545</v>
      </c>
      <c r="R95" s="3">
        <v>-1.02678571428571</v>
      </c>
      <c r="S95" s="3">
        <v>6.4255952380952301</v>
      </c>
      <c r="T95" s="3">
        <v>1.05654761904761</v>
      </c>
      <c r="U95" s="3">
        <v>7.2053571428571397</v>
      </c>
      <c r="V95" s="3">
        <v>2.9761904761904701E-2</v>
      </c>
      <c r="W95" s="3">
        <v>11.6309523809523</v>
      </c>
      <c r="X95" s="3">
        <v>-0.38369281603081001</v>
      </c>
      <c r="Y95" s="3">
        <v>1.18782305042089</v>
      </c>
      <c r="Z95" s="3">
        <v>0.85369919975626996</v>
      </c>
      <c r="AA95" s="3">
        <v>0.82506003390029303</v>
      </c>
      <c r="AB95" s="3">
        <v>0.35222038626670799</v>
      </c>
      <c r="AC95" s="3">
        <v>0.56799376010894698</v>
      </c>
      <c r="AD95" s="3">
        <v>0.39798790216445901</v>
      </c>
      <c r="AE95" s="3">
        <v>0.31084832549095098</v>
      </c>
      <c r="AF95" s="3">
        <v>0.53751707077026301</v>
      </c>
      <c r="AG95" s="3">
        <v>0.33430522680282498</v>
      </c>
    </row>
    <row r="96" spans="1:33" x14ac:dyDescent="0.45">
      <c r="A96" s="3" t="s">
        <v>44</v>
      </c>
      <c r="B96" s="3">
        <v>4</v>
      </c>
      <c r="C96" s="3">
        <v>0.5</v>
      </c>
      <c r="D96" s="3">
        <v>0.2</v>
      </c>
      <c r="E96" s="3">
        <v>409</v>
      </c>
      <c r="F96" s="3" t="s">
        <v>9</v>
      </c>
      <c r="G96" s="3">
        <v>14</v>
      </c>
      <c r="H96" s="3">
        <v>0.42270135879516602</v>
      </c>
      <c r="I96" s="3">
        <v>0.391632169485092</v>
      </c>
      <c r="J96" s="3">
        <v>0.96875</v>
      </c>
      <c r="K96" s="3">
        <v>5.0104166666666599</v>
      </c>
      <c r="L96" s="3">
        <v>-0.51041666666666596</v>
      </c>
      <c r="M96" s="3">
        <v>6.3854166666666599</v>
      </c>
      <c r="N96" s="3">
        <v>0.45833333333333298</v>
      </c>
      <c r="O96" s="3">
        <v>9.875</v>
      </c>
      <c r="P96" s="3">
        <v>-0.151942316521881</v>
      </c>
      <c r="Q96" s="3">
        <v>1.08843307600114</v>
      </c>
      <c r="R96" s="3">
        <v>-8.9285714285714194E-3</v>
      </c>
      <c r="S96" s="3">
        <v>6.2648809523809499</v>
      </c>
      <c r="T96" s="3">
        <v>0.61607142857142805</v>
      </c>
      <c r="U96" s="3">
        <v>7.1339285714285703</v>
      </c>
      <c r="V96" s="3">
        <v>0.60714285714285698</v>
      </c>
      <c r="W96" s="3">
        <v>11.9880952380952</v>
      </c>
      <c r="X96" s="3">
        <v>-0.31103512211776302</v>
      </c>
      <c r="Y96" s="3">
        <v>1.2404059399084499</v>
      </c>
      <c r="Z96" s="3">
        <v>0.84311502290794105</v>
      </c>
      <c r="AA96" s="3">
        <v>0.84288084521920903</v>
      </c>
      <c r="AB96" s="3">
        <v>0.34279802441596902</v>
      </c>
      <c r="AC96" s="3">
        <v>0.56754821538925104</v>
      </c>
      <c r="AD96" s="3">
        <v>0.37515372037887501</v>
      </c>
      <c r="AE96" s="3">
        <v>0.33160886168479897</v>
      </c>
      <c r="AF96" s="3">
        <v>0.53840959072113004</v>
      </c>
      <c r="AG96" s="3">
        <v>0.37482014298438998</v>
      </c>
    </row>
    <row r="97" spans="1:33" x14ac:dyDescent="0.45">
      <c r="A97" s="3" t="s">
        <v>44</v>
      </c>
      <c r="B97" s="3">
        <v>4</v>
      </c>
      <c r="C97" s="3">
        <v>0.5</v>
      </c>
      <c r="D97" s="3">
        <v>0.2</v>
      </c>
      <c r="E97" s="3">
        <v>409</v>
      </c>
      <c r="F97" s="3" t="s">
        <v>9</v>
      </c>
      <c r="G97" s="3">
        <v>15</v>
      </c>
      <c r="H97" s="3">
        <v>0.41476413607597301</v>
      </c>
      <c r="I97" s="3">
        <v>0.41120880842208801</v>
      </c>
      <c r="J97" s="3">
        <v>-0.57291666666666596</v>
      </c>
      <c r="K97" s="3">
        <v>5.2395833333333304</v>
      </c>
      <c r="L97" s="3">
        <v>-0.42708333333333298</v>
      </c>
      <c r="M97" s="3">
        <v>5.59375</v>
      </c>
      <c r="N97" s="3">
        <v>-1</v>
      </c>
      <c r="O97" s="3">
        <v>10</v>
      </c>
      <c r="P97" s="3">
        <v>-0.13207776459278101</v>
      </c>
      <c r="Q97" s="3">
        <v>1.1289314202584699</v>
      </c>
      <c r="R97" s="3">
        <v>0.136904761904761</v>
      </c>
      <c r="S97" s="3">
        <v>5.6845238095238004</v>
      </c>
      <c r="T97" s="3">
        <v>0.25892857142857101</v>
      </c>
      <c r="U97" s="3">
        <v>6.4375</v>
      </c>
      <c r="V97" s="3">
        <v>0.39583333333333298</v>
      </c>
      <c r="W97" s="3">
        <v>11.0208333333333</v>
      </c>
      <c r="X97" s="3">
        <v>-0.22231073744320801</v>
      </c>
      <c r="Y97" s="3">
        <v>1.02449116715546</v>
      </c>
      <c r="Z97" s="3">
        <v>0.82197427490893205</v>
      </c>
      <c r="AA97" s="3">
        <v>0.80833135633286302</v>
      </c>
      <c r="AB97" s="3">
        <v>0.34843960404396002</v>
      </c>
      <c r="AC97" s="3">
        <v>0.56802713871002197</v>
      </c>
      <c r="AD97" s="3">
        <v>0.39696487784385598</v>
      </c>
      <c r="AE97" s="3">
        <v>0.30965739488601601</v>
      </c>
      <c r="AF97" s="3">
        <v>0.53733271360397294</v>
      </c>
      <c r="AG97" s="3">
        <v>0.320714861154556</v>
      </c>
    </row>
    <row r="98" spans="1:33" x14ac:dyDescent="0.45">
      <c r="A98" s="3" t="s">
        <v>44</v>
      </c>
      <c r="B98" s="3">
        <v>4</v>
      </c>
      <c r="C98" s="3">
        <v>0.5</v>
      </c>
      <c r="D98" s="3">
        <v>0.2</v>
      </c>
      <c r="E98" s="3">
        <v>409</v>
      </c>
      <c r="F98" s="3" t="s">
        <v>9</v>
      </c>
      <c r="G98" s="3">
        <v>16</v>
      </c>
      <c r="H98" s="3">
        <v>0.42341160774230902</v>
      </c>
      <c r="I98" s="3">
        <v>0.39038977026939298</v>
      </c>
      <c r="J98" s="3">
        <v>2.1041666666666599</v>
      </c>
      <c r="K98" s="3">
        <v>4.2291666666666599</v>
      </c>
      <c r="L98" s="3">
        <v>1.9895833333333299</v>
      </c>
      <c r="M98" s="3">
        <v>5.40625</v>
      </c>
      <c r="N98" s="3">
        <v>4.09375</v>
      </c>
      <c r="O98" s="3">
        <v>8.53125</v>
      </c>
      <c r="P98" s="3">
        <v>-0.38191169764385102</v>
      </c>
      <c r="Q98" s="3">
        <v>1.03584148093474</v>
      </c>
      <c r="R98" s="3">
        <v>-0.41964285714285698</v>
      </c>
      <c r="S98" s="3">
        <v>6.3244047619047601</v>
      </c>
      <c r="T98" s="3">
        <v>1.0773809523809501</v>
      </c>
      <c r="U98" s="3">
        <v>7.2083333333333304</v>
      </c>
      <c r="V98" s="3">
        <v>0.65773809523809501</v>
      </c>
      <c r="W98" s="3">
        <v>12.5386904761904</v>
      </c>
      <c r="X98" s="3">
        <v>-0.37503879199693702</v>
      </c>
      <c r="Y98" s="3">
        <v>1.00484651417726</v>
      </c>
      <c r="Z98" s="3">
        <v>0.83569290046096001</v>
      </c>
      <c r="AA98" s="3">
        <v>0.83000699775289</v>
      </c>
      <c r="AB98" s="3">
        <v>0.340289056301116</v>
      </c>
      <c r="AC98" s="3">
        <v>0.56737959384918202</v>
      </c>
      <c r="AD98" s="3">
        <v>0.36742255091667098</v>
      </c>
      <c r="AE98" s="3">
        <v>0.322848141193389</v>
      </c>
      <c r="AF98" s="3">
        <v>0.53837466239929199</v>
      </c>
      <c r="AG98" s="3">
        <v>0.35053676366806003</v>
      </c>
    </row>
    <row r="99" spans="1:33" x14ac:dyDescent="0.45">
      <c r="A99" s="3" t="s">
        <v>44</v>
      </c>
      <c r="B99" s="3">
        <v>4</v>
      </c>
      <c r="C99" s="3">
        <v>0.5</v>
      </c>
      <c r="D99" s="3">
        <v>0.2</v>
      </c>
      <c r="E99" s="3">
        <v>409</v>
      </c>
      <c r="F99" s="3" t="s">
        <v>9</v>
      </c>
      <c r="G99" s="3">
        <v>18</v>
      </c>
      <c r="H99" s="3">
        <v>0.39744126796722401</v>
      </c>
      <c r="I99" s="3">
        <v>0.37317869067192</v>
      </c>
      <c r="J99" s="3">
        <v>0.91666666666666596</v>
      </c>
      <c r="K99" s="3">
        <v>4.0208333333333304</v>
      </c>
      <c r="L99" s="3">
        <v>1.96875</v>
      </c>
      <c r="M99" s="3">
        <v>7.09375</v>
      </c>
      <c r="N99" s="3">
        <v>2.8854166666666599</v>
      </c>
      <c r="O99" s="3">
        <v>9.6979166666666607</v>
      </c>
      <c r="P99" s="3">
        <v>-0.41653716733013602</v>
      </c>
      <c r="Q99" s="3">
        <v>1.14425570160353</v>
      </c>
      <c r="R99" s="3">
        <v>1.2291666666666601</v>
      </c>
      <c r="S99" s="3">
        <v>6.6339285714285703</v>
      </c>
      <c r="T99" s="3">
        <v>-0.34523809523809501</v>
      </c>
      <c r="U99" s="3">
        <v>6.0535714285714199</v>
      </c>
      <c r="V99" s="3">
        <v>0.88392857142857095</v>
      </c>
      <c r="W99" s="3">
        <v>11.574404761904701</v>
      </c>
      <c r="X99" s="3">
        <v>0.41333144921871701</v>
      </c>
      <c r="Y99" s="3">
        <v>1.21310943783025</v>
      </c>
      <c r="Z99" s="3">
        <v>0.85428493930966198</v>
      </c>
      <c r="AA99" s="3">
        <v>0.81812690793520204</v>
      </c>
      <c r="AB99" s="3">
        <v>0.35352769494056702</v>
      </c>
      <c r="AC99" s="3">
        <v>0.56801217794418302</v>
      </c>
      <c r="AD99" s="3">
        <v>0.40046375989913902</v>
      </c>
      <c r="AE99" s="3">
        <v>0.30665951967239302</v>
      </c>
      <c r="AF99" s="3">
        <v>0.53637915849685602</v>
      </c>
      <c r="AG99" s="3">
        <v>0.32899770140647799</v>
      </c>
    </row>
    <row r="100" spans="1:33" x14ac:dyDescent="0.45">
      <c r="A100" s="3" t="s">
        <v>44</v>
      </c>
      <c r="B100" s="3">
        <v>4</v>
      </c>
      <c r="C100" s="3">
        <v>0.5</v>
      </c>
      <c r="D100" s="3">
        <v>0.2</v>
      </c>
      <c r="E100" s="3">
        <v>409</v>
      </c>
      <c r="F100" s="3" t="s">
        <v>9</v>
      </c>
      <c r="G100" s="3">
        <v>19</v>
      </c>
      <c r="H100" s="3">
        <v>0.38518905639648399</v>
      </c>
      <c r="I100" s="3">
        <v>0.37792918086051902</v>
      </c>
      <c r="J100" s="3">
        <v>-1.1145833333333299</v>
      </c>
      <c r="K100" s="3">
        <v>4.2604166666666599</v>
      </c>
      <c r="L100" s="3">
        <v>-0.66666666666666596</v>
      </c>
      <c r="M100" s="3">
        <v>5.7708333333333304</v>
      </c>
      <c r="N100" s="3">
        <v>-1.78125</v>
      </c>
      <c r="O100" s="3">
        <v>9.0520833333333304</v>
      </c>
      <c r="P100" s="3">
        <v>-0.38059899795368701</v>
      </c>
      <c r="Q100" s="3">
        <v>0.95596467249621098</v>
      </c>
      <c r="R100" s="3">
        <v>-0.57440476190476097</v>
      </c>
      <c r="S100" s="3">
        <v>5.4434523809523796</v>
      </c>
      <c r="T100" s="3">
        <v>1.2946428571428501</v>
      </c>
      <c r="U100" s="3">
        <v>6.5565476190476097</v>
      </c>
      <c r="V100" s="3">
        <v>0.72023809523809501</v>
      </c>
      <c r="W100" s="3">
        <v>10.720238095238001</v>
      </c>
      <c r="X100" s="3">
        <v>-0.40412607277123802</v>
      </c>
      <c r="Y100" s="3">
        <v>0.99449729390646102</v>
      </c>
      <c r="Z100" s="3">
        <v>0.85220103266704195</v>
      </c>
      <c r="AA100" s="3">
        <v>0.83941977352559705</v>
      </c>
      <c r="AB100" s="3">
        <v>0.35266512632369901</v>
      </c>
      <c r="AC100" s="3">
        <v>0.56788271665573098</v>
      </c>
      <c r="AD100" s="3">
        <v>0.40137773752212502</v>
      </c>
      <c r="AE100" s="3">
        <v>0.329674482345581</v>
      </c>
      <c r="AF100" s="3">
        <v>0.53858387470245295</v>
      </c>
      <c r="AG100" s="3">
        <v>0.36429426074027998</v>
      </c>
    </row>
    <row r="101" spans="1:33" x14ac:dyDescent="0.45">
      <c r="A101" s="3" t="s">
        <v>44</v>
      </c>
      <c r="B101" s="3">
        <v>4</v>
      </c>
      <c r="C101" s="3">
        <v>0.5</v>
      </c>
      <c r="D101" s="3">
        <v>0.2</v>
      </c>
      <c r="E101" s="3">
        <v>409</v>
      </c>
      <c r="F101" s="3" t="s">
        <v>9</v>
      </c>
      <c r="G101" s="3">
        <v>20</v>
      </c>
      <c r="H101" s="3">
        <v>0.38084253668785001</v>
      </c>
      <c r="I101" s="3">
        <v>0.37577557563781699</v>
      </c>
      <c r="J101" s="3">
        <v>-2.0833333333333299</v>
      </c>
      <c r="K101" s="3">
        <v>4.5</v>
      </c>
      <c r="L101" s="3">
        <v>-1.3333333333333299</v>
      </c>
      <c r="M101" s="3">
        <v>6.3541666666666599</v>
      </c>
      <c r="N101" s="3">
        <v>-3.4166666666666599</v>
      </c>
      <c r="O101" s="3">
        <v>9.5416666666666607</v>
      </c>
      <c r="P101" s="3">
        <v>-0.23593864902164699</v>
      </c>
      <c r="Q101" s="3">
        <v>1.056952556628</v>
      </c>
      <c r="R101" s="3">
        <v>-0.54166666666666596</v>
      </c>
      <c r="S101" s="3">
        <v>5.6964285714285703</v>
      </c>
      <c r="T101" s="3">
        <v>-7.73809523809523E-2</v>
      </c>
      <c r="U101" s="3">
        <v>6.1547619047618998</v>
      </c>
      <c r="V101" s="3">
        <v>-0.61904761904761896</v>
      </c>
      <c r="W101" s="3">
        <v>10.720238095238001</v>
      </c>
      <c r="X101" s="3">
        <v>-0.20976479527882699</v>
      </c>
      <c r="Y101" s="3">
        <v>0.95706462306998996</v>
      </c>
      <c r="Z101" s="3">
        <v>0.85455609728300996</v>
      </c>
      <c r="AA101" s="3">
        <v>0.84821972790078504</v>
      </c>
      <c r="AB101" s="3">
        <v>0.351457148790359</v>
      </c>
      <c r="AC101" s="3">
        <v>0.56733947992324796</v>
      </c>
      <c r="AD101" s="3">
        <v>0.39998608827590898</v>
      </c>
      <c r="AE101" s="3">
        <v>0.332902371883392</v>
      </c>
      <c r="AF101" s="3">
        <v>0.53829365968704201</v>
      </c>
      <c r="AG101" s="3">
        <v>0.37976714968681302</v>
      </c>
    </row>
    <row r="102" spans="1:33" x14ac:dyDescent="0.45">
      <c r="A102" s="3" t="s">
        <v>44</v>
      </c>
      <c r="B102" s="3">
        <v>4</v>
      </c>
      <c r="C102" s="3">
        <v>0.5</v>
      </c>
      <c r="D102" s="3">
        <v>0.2</v>
      </c>
      <c r="E102" s="3">
        <v>409</v>
      </c>
      <c r="F102" s="3" t="s">
        <v>9</v>
      </c>
      <c r="G102" s="3">
        <v>24</v>
      </c>
      <c r="H102" s="3">
        <v>0.38981583714485102</v>
      </c>
      <c r="I102" s="3">
        <v>0.36511158943176197</v>
      </c>
      <c r="J102" s="3">
        <v>-2.6770833333333299</v>
      </c>
      <c r="K102" s="3">
        <v>5.21875</v>
      </c>
      <c r="L102" s="3">
        <v>-1.5520833333333299</v>
      </c>
      <c r="M102" s="3">
        <v>7.9479166666666599</v>
      </c>
      <c r="N102" s="3">
        <v>-4.2291666666666599</v>
      </c>
      <c r="O102" s="3">
        <v>11.6875</v>
      </c>
      <c r="P102" s="3">
        <v>-0.490068316387476</v>
      </c>
      <c r="Q102" s="3">
        <v>1.2108872370143799</v>
      </c>
      <c r="R102" s="3">
        <v>-2.0089285714285698</v>
      </c>
      <c r="S102" s="3">
        <v>6.4136904761904701</v>
      </c>
      <c r="T102" s="3">
        <v>-6.25E-2</v>
      </c>
      <c r="U102" s="3">
        <v>6.8898809523809499</v>
      </c>
      <c r="V102" s="3">
        <v>-2.0714285714285698</v>
      </c>
      <c r="W102" s="3">
        <v>11.940476190476099</v>
      </c>
      <c r="X102" s="3">
        <v>-0.50137314759360896</v>
      </c>
      <c r="Y102" s="3">
        <v>1.09092901742242</v>
      </c>
      <c r="Z102" s="3">
        <v>0.86622549449422703</v>
      </c>
      <c r="AA102" s="3">
        <v>0.83080718347555305</v>
      </c>
      <c r="AB102" s="3">
        <v>0.35261172056198098</v>
      </c>
      <c r="AC102" s="3">
        <v>0.56781619787216098</v>
      </c>
      <c r="AD102" s="3">
        <v>0.40311923623085</v>
      </c>
      <c r="AE102" s="3">
        <v>0.32862532138824402</v>
      </c>
      <c r="AF102" s="3">
        <v>0.53695940971374501</v>
      </c>
      <c r="AG102" s="3">
        <v>0.36837312579154902</v>
      </c>
    </row>
    <row r="103" spans="1:33" x14ac:dyDescent="0.45">
      <c r="A103" s="3" t="s">
        <v>44</v>
      </c>
      <c r="B103" s="3">
        <v>4</v>
      </c>
      <c r="C103" s="3">
        <v>0.5</v>
      </c>
      <c r="D103" s="3">
        <v>0.2</v>
      </c>
      <c r="E103" s="3">
        <v>409</v>
      </c>
      <c r="F103" s="3" t="s">
        <v>9</v>
      </c>
      <c r="G103" s="3">
        <v>25</v>
      </c>
      <c r="H103" s="3">
        <v>0.39023855328559798</v>
      </c>
      <c r="I103" s="3">
        <v>0.38245642185211098</v>
      </c>
      <c r="J103" s="3">
        <v>0.41666666666666602</v>
      </c>
      <c r="K103" s="3">
        <v>4.7083333333333304</v>
      </c>
      <c r="L103" s="3">
        <v>-0.13541666666666599</v>
      </c>
      <c r="M103" s="3">
        <v>6.1770833333333304</v>
      </c>
      <c r="N103" s="3">
        <v>0.28125</v>
      </c>
      <c r="O103" s="3">
        <v>8.8645833333333304</v>
      </c>
      <c r="P103" s="3">
        <v>-0.43684562182475201</v>
      </c>
      <c r="Q103" s="3">
        <v>1.3609238144747899</v>
      </c>
      <c r="R103" s="3">
        <v>-0.148809523809523</v>
      </c>
      <c r="S103" s="3">
        <v>5.6726190476190403</v>
      </c>
      <c r="T103" s="3">
        <v>-0.96130952380952295</v>
      </c>
      <c r="U103" s="3">
        <v>7.15178571428571</v>
      </c>
      <c r="V103" s="3">
        <v>-1.1101190476190399</v>
      </c>
      <c r="W103" s="3">
        <v>11.699404761904701</v>
      </c>
      <c r="X103" s="3">
        <v>6.2829554118345704E-2</v>
      </c>
      <c r="Y103" s="3">
        <v>1.1151708043048001</v>
      </c>
      <c r="Z103" s="3">
        <v>0.84979400149582796</v>
      </c>
      <c r="AA103" s="3">
        <v>0.82136306845060403</v>
      </c>
      <c r="AB103" s="3">
        <v>0.35204604268074002</v>
      </c>
      <c r="AC103" s="3">
        <v>0.568012475967407</v>
      </c>
      <c r="AD103" s="3">
        <v>0.39520338177680903</v>
      </c>
      <c r="AE103" s="3">
        <v>0.31777209043502802</v>
      </c>
      <c r="AF103" s="3">
        <v>0.53796696662902799</v>
      </c>
      <c r="AG103" s="3">
        <v>0.341597139835357</v>
      </c>
    </row>
    <row r="104" spans="1:33" x14ac:dyDescent="0.45">
      <c r="A104" s="3" t="s">
        <v>44</v>
      </c>
      <c r="B104" s="3">
        <v>4</v>
      </c>
      <c r="C104" s="3">
        <v>0.5</v>
      </c>
      <c r="D104" s="3">
        <v>0.2</v>
      </c>
      <c r="E104" s="3">
        <v>409</v>
      </c>
      <c r="F104" s="3" t="s">
        <v>9</v>
      </c>
      <c r="G104" s="3">
        <v>26</v>
      </c>
      <c r="H104" s="3">
        <v>0.38308089971542297</v>
      </c>
      <c r="I104" s="3">
        <v>0.375704646110534</v>
      </c>
      <c r="J104" s="3">
        <v>1.3333333333333299</v>
      </c>
      <c r="K104" s="3">
        <v>5.0208333333333304</v>
      </c>
      <c r="L104" s="3">
        <v>-1.3020833333333299</v>
      </c>
      <c r="M104" s="3">
        <v>5.9270833333333304</v>
      </c>
      <c r="N104" s="3">
        <v>3.125E-2</v>
      </c>
      <c r="O104" s="3">
        <v>8.8854166666666607</v>
      </c>
      <c r="P104" s="3">
        <v>0.35068648391219698</v>
      </c>
      <c r="Q104" s="3">
        <v>1.1676763457424999</v>
      </c>
      <c r="R104" s="3">
        <v>-0.67261904761904701</v>
      </c>
      <c r="S104" s="3">
        <v>5.96428571428571</v>
      </c>
      <c r="T104" s="3">
        <v>3.2738095238095198E-2</v>
      </c>
      <c r="U104" s="3">
        <v>6.1101190476190403</v>
      </c>
      <c r="V104" s="3">
        <v>-0.639880952380952</v>
      </c>
      <c r="W104" s="3">
        <v>10.9791666666666</v>
      </c>
      <c r="X104" s="3">
        <v>-0.26291794146567099</v>
      </c>
      <c r="Y104" s="3">
        <v>1.0678557899148999</v>
      </c>
      <c r="Z104" s="3">
        <v>0.84006113981957797</v>
      </c>
      <c r="AA104" s="3">
        <v>0.84620707685539598</v>
      </c>
      <c r="AB104" s="3">
        <v>0.358279168605804</v>
      </c>
      <c r="AC104" s="3">
        <v>0.56822460889816195</v>
      </c>
      <c r="AD104" s="3">
        <v>0.41429111361503601</v>
      </c>
      <c r="AE104" s="3">
        <v>0.33225816488265902</v>
      </c>
      <c r="AF104" s="3">
        <v>0.53791260719299305</v>
      </c>
      <c r="AG104" s="3">
        <v>0.37219256162643399</v>
      </c>
    </row>
    <row r="105" spans="1:33" x14ac:dyDescent="0.45">
      <c r="A105" s="3" t="s">
        <v>44</v>
      </c>
      <c r="B105" s="3">
        <v>4</v>
      </c>
      <c r="C105" s="3">
        <v>0.5</v>
      </c>
      <c r="D105" s="3">
        <v>0.2</v>
      </c>
      <c r="E105" s="3">
        <v>409</v>
      </c>
      <c r="F105" s="3" t="s">
        <v>9</v>
      </c>
      <c r="G105" s="3">
        <v>28</v>
      </c>
      <c r="H105" s="3">
        <v>0.37271067500114402</v>
      </c>
      <c r="I105" s="3">
        <v>0.36345374584197998</v>
      </c>
      <c r="J105" s="3">
        <v>2.1145833333333299</v>
      </c>
      <c r="K105" s="3">
        <v>5.6770833333333304</v>
      </c>
      <c r="L105" s="3">
        <v>-1.0208333333333299</v>
      </c>
      <c r="M105" s="3">
        <v>6.8541666666666599</v>
      </c>
      <c r="N105" s="3">
        <v>1.09375</v>
      </c>
      <c r="O105" s="3">
        <v>9.96875</v>
      </c>
      <c r="P105" s="3">
        <v>-0.102576439373867</v>
      </c>
      <c r="Q105" s="3">
        <v>1.4645429803539101</v>
      </c>
      <c r="R105" s="3">
        <v>-1.9166666666666601</v>
      </c>
      <c r="S105" s="3">
        <v>6.0297619047618998</v>
      </c>
      <c r="T105" s="3">
        <v>-1.125</v>
      </c>
      <c r="U105" s="3">
        <v>6.58928571428571</v>
      </c>
      <c r="V105" s="3">
        <v>-3.0416666666666599</v>
      </c>
      <c r="W105" s="3">
        <v>11.190476190476099</v>
      </c>
      <c r="X105" s="3">
        <v>-0.22281083520613101</v>
      </c>
      <c r="Y105" s="3">
        <v>1.0748378770684699</v>
      </c>
      <c r="Z105" s="3">
        <v>0.85305327603443604</v>
      </c>
      <c r="AA105" s="3">
        <v>0.81933856249622905</v>
      </c>
      <c r="AB105" s="3">
        <v>0.35538941621780301</v>
      </c>
      <c r="AC105" s="3">
        <v>0.56774187088012695</v>
      </c>
      <c r="AD105" s="3">
        <v>0.40674051642417902</v>
      </c>
      <c r="AE105" s="3">
        <v>0.32723566889762801</v>
      </c>
      <c r="AF105" s="3">
        <v>0.53788185119628895</v>
      </c>
      <c r="AG105" s="3">
        <v>0.36051234602928101</v>
      </c>
    </row>
    <row r="106" spans="1:33" x14ac:dyDescent="0.45">
      <c r="A106" s="3" t="s">
        <v>45</v>
      </c>
      <c r="B106" s="3">
        <v>3</v>
      </c>
      <c r="C106" s="3">
        <v>0.5</v>
      </c>
      <c r="D106" s="3">
        <v>0.2</v>
      </c>
      <c r="E106" s="3">
        <v>409</v>
      </c>
      <c r="F106" s="3" t="s">
        <v>9</v>
      </c>
      <c r="G106" s="3">
        <v>4</v>
      </c>
      <c r="H106" s="3">
        <v>0.50422984361648504</v>
      </c>
      <c r="I106" s="3">
        <v>0.43082305788993802</v>
      </c>
      <c r="J106" s="3">
        <v>3.90625</v>
      </c>
      <c r="K106" s="3">
        <v>7.4479166666666599</v>
      </c>
      <c r="L106" s="3">
        <v>1.6458333333333299</v>
      </c>
      <c r="M106" s="3">
        <v>8.9583333333333304</v>
      </c>
      <c r="N106" s="3">
        <v>5.5520833333333304</v>
      </c>
      <c r="O106" s="3">
        <v>13.40625</v>
      </c>
      <c r="P106" s="3">
        <v>7.9754006022233793E-3</v>
      </c>
      <c r="Q106" s="3">
        <v>1.9029534534918799</v>
      </c>
      <c r="R106" s="3">
        <v>1.1220238095238</v>
      </c>
      <c r="S106" s="3">
        <v>7.8958333333333304</v>
      </c>
      <c r="T106" s="3">
        <v>4.6607142857142803</v>
      </c>
      <c r="U106" s="3">
        <v>11.077380952380899</v>
      </c>
      <c r="V106" s="3">
        <v>5.7827380952380896</v>
      </c>
      <c r="W106" s="3">
        <v>15.3303571428571</v>
      </c>
      <c r="X106" s="3">
        <v>-0.74911754580854595</v>
      </c>
      <c r="Y106" s="3">
        <v>2.1671453295055998</v>
      </c>
      <c r="Z106" s="3">
        <v>0.79286734758194299</v>
      </c>
      <c r="AA106" s="3">
        <v>0.79525709554713297</v>
      </c>
      <c r="AB106" s="3">
        <v>0.32277762889861999</v>
      </c>
      <c r="AC106" s="3">
        <v>0.56649529933929399</v>
      </c>
      <c r="AD106" s="3">
        <v>0.33137077093124301</v>
      </c>
      <c r="AE106" s="3">
        <v>0.31918397545814498</v>
      </c>
      <c r="AF106" s="3">
        <v>0.53809475898742598</v>
      </c>
      <c r="AG106" s="3">
        <v>0.34571424126625</v>
      </c>
    </row>
    <row r="107" spans="1:33" x14ac:dyDescent="0.45">
      <c r="A107" s="3" t="s">
        <v>45</v>
      </c>
      <c r="B107" s="3">
        <v>3</v>
      </c>
      <c r="C107" s="3">
        <v>0.5</v>
      </c>
      <c r="D107" s="3">
        <v>0.2</v>
      </c>
      <c r="E107" s="3">
        <v>409</v>
      </c>
      <c r="F107" s="3" t="s">
        <v>9</v>
      </c>
      <c r="G107" s="3">
        <v>14</v>
      </c>
      <c r="H107" s="3">
        <v>0.40747311711311301</v>
      </c>
      <c r="I107" s="3">
        <v>0.37450999021530101</v>
      </c>
      <c r="J107" s="3">
        <v>-0.72916666666666596</v>
      </c>
      <c r="K107" s="3">
        <v>4.375</v>
      </c>
      <c r="L107" s="3">
        <v>-0.10416666666666601</v>
      </c>
      <c r="M107" s="3">
        <v>5.6666666666666599</v>
      </c>
      <c r="N107" s="3">
        <v>-0.83333333333333304</v>
      </c>
      <c r="O107" s="3">
        <v>8.5</v>
      </c>
      <c r="P107" s="3">
        <v>-0.28842892242451101</v>
      </c>
      <c r="Q107" s="3">
        <v>1.0420893358855601</v>
      </c>
      <c r="R107" s="3">
        <v>-0.30952380952380898</v>
      </c>
      <c r="S107" s="3">
        <v>5.7023809523809499</v>
      </c>
      <c r="T107" s="3">
        <v>-0.49702380952380898</v>
      </c>
      <c r="U107" s="3">
        <v>6.2648809523809499</v>
      </c>
      <c r="V107" s="3">
        <v>-0.80654761904761896</v>
      </c>
      <c r="W107" s="3">
        <v>10.5386904761904</v>
      </c>
      <c r="X107" s="3">
        <v>-5.9087158529877601E-2</v>
      </c>
      <c r="Y107" s="3">
        <v>1.06107625249355</v>
      </c>
      <c r="Z107" s="3">
        <v>0.86454921459762801</v>
      </c>
      <c r="AA107" s="3">
        <v>0.84619990803386502</v>
      </c>
      <c r="AB107" s="3">
        <v>0.34899318218231201</v>
      </c>
      <c r="AC107" s="3">
        <v>0.567810118198394</v>
      </c>
      <c r="AD107" s="3">
        <v>0.39651685953140198</v>
      </c>
      <c r="AE107" s="3">
        <v>0.32770636677741999</v>
      </c>
      <c r="AF107" s="3">
        <v>0.53793537616729703</v>
      </c>
      <c r="AG107" s="3">
        <v>0.372311651706695</v>
      </c>
    </row>
    <row r="108" spans="1:33" x14ac:dyDescent="0.45">
      <c r="A108" s="3" t="s">
        <v>45</v>
      </c>
      <c r="B108" s="3">
        <v>3</v>
      </c>
      <c r="C108" s="3">
        <v>0.5</v>
      </c>
      <c r="D108" s="3">
        <v>0.2</v>
      </c>
      <c r="E108" s="3">
        <v>409</v>
      </c>
      <c r="F108" s="3" t="s">
        <v>9</v>
      </c>
      <c r="G108" s="3">
        <v>16</v>
      </c>
      <c r="H108" s="3">
        <v>0.406897872686386</v>
      </c>
      <c r="I108" s="3">
        <v>0.38287079334259</v>
      </c>
      <c r="J108" s="3">
        <v>1.2291666666666601</v>
      </c>
      <c r="K108" s="3">
        <v>5.6041666666666599</v>
      </c>
      <c r="L108" s="3">
        <v>-0.55208333333333304</v>
      </c>
      <c r="M108" s="3">
        <v>5.4270833333333304</v>
      </c>
      <c r="N108" s="3">
        <v>0.67708333333333304</v>
      </c>
      <c r="O108" s="3">
        <v>8.65625</v>
      </c>
      <c r="P108" s="3">
        <v>9.6622346146079896E-2</v>
      </c>
      <c r="Q108" s="3">
        <v>1.0892077352720699</v>
      </c>
      <c r="R108" s="3">
        <v>-0.35416666666666602</v>
      </c>
      <c r="S108" s="3">
        <v>5.3303571428571397</v>
      </c>
      <c r="T108" s="3">
        <v>1.02678571428571</v>
      </c>
      <c r="U108" s="3">
        <v>7.27678571428571</v>
      </c>
      <c r="V108" s="3">
        <v>0.67261904761904701</v>
      </c>
      <c r="W108" s="3">
        <v>11.482142857142801</v>
      </c>
      <c r="X108" s="3">
        <v>-0.32112385552220302</v>
      </c>
      <c r="Y108" s="3">
        <v>1.0607214765078099</v>
      </c>
      <c r="Z108" s="3">
        <v>0.84843322698191903</v>
      </c>
      <c r="AA108" s="3">
        <v>0.82555395758285099</v>
      </c>
      <c r="AB108" s="3">
        <v>0.34922307729721003</v>
      </c>
      <c r="AC108" s="3">
        <v>0.56763213872909501</v>
      </c>
      <c r="AD108" s="3">
        <v>0.39400994777679399</v>
      </c>
      <c r="AE108" s="3">
        <v>0.31986933946609403</v>
      </c>
      <c r="AF108" s="3">
        <v>0.53775346279144198</v>
      </c>
      <c r="AG108" s="3">
        <v>0.35120028257369901</v>
      </c>
    </row>
    <row r="109" spans="1:33" x14ac:dyDescent="0.45">
      <c r="A109" s="3" t="s">
        <v>45</v>
      </c>
      <c r="B109" s="3">
        <v>3</v>
      </c>
      <c r="C109" s="3">
        <v>0.5</v>
      </c>
      <c r="D109" s="3">
        <v>0.2</v>
      </c>
      <c r="E109" s="3">
        <v>409</v>
      </c>
      <c r="F109" s="3" t="s">
        <v>9</v>
      </c>
      <c r="G109" s="3">
        <v>17</v>
      </c>
      <c r="H109" s="3">
        <v>0.38793832063674899</v>
      </c>
      <c r="I109" s="3">
        <v>0.39716100692749001</v>
      </c>
      <c r="J109" s="3">
        <v>-0.23958333333333301</v>
      </c>
      <c r="K109" s="3">
        <v>4.0729166666666599</v>
      </c>
      <c r="L109" s="3">
        <v>0.83333333333333304</v>
      </c>
      <c r="M109" s="3">
        <v>5.7291666666666599</v>
      </c>
      <c r="N109" s="3">
        <v>0.59375</v>
      </c>
      <c r="O109" s="3">
        <v>8.5729166666666607</v>
      </c>
      <c r="P109" s="3">
        <v>-0.42670990387280999</v>
      </c>
      <c r="Q109" s="3">
        <v>1.0899944433927899</v>
      </c>
      <c r="R109" s="3">
        <v>0.50892857142857095</v>
      </c>
      <c r="S109" s="3">
        <v>6.0922619047618998</v>
      </c>
      <c r="T109" s="3">
        <v>0.77380952380952295</v>
      </c>
      <c r="U109" s="3">
        <v>6.6428571428571397</v>
      </c>
      <c r="V109" s="3">
        <v>1.28273809523809</v>
      </c>
      <c r="W109" s="3">
        <v>10.9136904761904</v>
      </c>
      <c r="X109" s="3">
        <v>-0.25181318474832698</v>
      </c>
      <c r="Y109" s="3">
        <v>1.0951438279256001</v>
      </c>
      <c r="Z109" s="3">
        <v>0.84800770188873298</v>
      </c>
      <c r="AA109" s="3">
        <v>0.83076701553841403</v>
      </c>
      <c r="AB109" s="3">
        <v>0.35043096542358398</v>
      </c>
      <c r="AC109" s="3">
        <v>0.56784486770629805</v>
      </c>
      <c r="AD109" s="3">
        <v>0.39286991953849698</v>
      </c>
      <c r="AE109" s="3">
        <v>0.32631808519363398</v>
      </c>
      <c r="AF109" s="3">
        <v>0.53825944662094105</v>
      </c>
      <c r="AG109" s="3">
        <v>0.35840439796447698</v>
      </c>
    </row>
    <row r="110" spans="1:33" x14ac:dyDescent="0.45">
      <c r="A110" s="3" t="s">
        <v>45</v>
      </c>
      <c r="B110" s="3">
        <v>3</v>
      </c>
      <c r="C110" s="3">
        <v>0.5</v>
      </c>
      <c r="D110" s="3">
        <v>0.2</v>
      </c>
      <c r="E110" s="3">
        <v>409</v>
      </c>
      <c r="F110" s="3" t="s">
        <v>9</v>
      </c>
      <c r="G110" s="3">
        <v>19</v>
      </c>
      <c r="H110" s="3">
        <v>0.39453285932540799</v>
      </c>
      <c r="I110" s="3">
        <v>0.39019572734832703</v>
      </c>
      <c r="J110" s="3">
        <v>-0.92708333333333304</v>
      </c>
      <c r="K110" s="3">
        <v>4.7395833333333304</v>
      </c>
      <c r="L110" s="3">
        <v>7.2916666666666602E-2</v>
      </c>
      <c r="M110" s="3">
        <v>6.15625</v>
      </c>
      <c r="N110" s="3">
        <v>-0.85416666666666596</v>
      </c>
      <c r="O110" s="3">
        <v>9.4166666666666607</v>
      </c>
      <c r="P110" s="3">
        <v>-0.49151681091967597</v>
      </c>
      <c r="Q110" s="3">
        <v>1.10298070183352</v>
      </c>
      <c r="R110" s="3">
        <v>0.461309523809523</v>
      </c>
      <c r="S110" s="3">
        <v>5.0446428571428497</v>
      </c>
      <c r="T110" s="3">
        <v>0.31845238095237999</v>
      </c>
      <c r="U110" s="3">
        <v>6.1041666666666599</v>
      </c>
      <c r="V110" s="3">
        <v>0.77976190476190399</v>
      </c>
      <c r="W110" s="3">
        <v>10.0297619047619</v>
      </c>
      <c r="X110" s="3">
        <v>-4.0574658317522098E-2</v>
      </c>
      <c r="Y110" s="3">
        <v>0.89747656264204401</v>
      </c>
      <c r="Z110" s="3">
        <v>0.801744767079967</v>
      </c>
      <c r="AA110" s="3">
        <v>0.77721628654285502</v>
      </c>
      <c r="AB110" s="3">
        <v>0.36355939507484403</v>
      </c>
      <c r="AC110" s="3">
        <v>0.56810098886489802</v>
      </c>
      <c r="AD110" s="3">
        <v>0.42356252670288003</v>
      </c>
      <c r="AE110" s="3">
        <v>0.30793878436088501</v>
      </c>
      <c r="AF110" s="3">
        <v>0.53232043981552102</v>
      </c>
      <c r="AG110" s="3">
        <v>0.31408509612083402</v>
      </c>
    </row>
    <row r="111" spans="1:33" x14ac:dyDescent="0.45">
      <c r="A111" s="3" t="s">
        <v>45</v>
      </c>
      <c r="B111" s="3">
        <v>3</v>
      </c>
      <c r="C111" s="3">
        <v>0.5</v>
      </c>
      <c r="D111" s="3">
        <v>0.2</v>
      </c>
      <c r="E111" s="3">
        <v>409</v>
      </c>
      <c r="F111" s="3" t="s">
        <v>9</v>
      </c>
      <c r="G111" s="3">
        <v>21</v>
      </c>
      <c r="H111" s="3">
        <v>0.40056651830673201</v>
      </c>
      <c r="I111" s="3">
        <v>0.39732870459556502</v>
      </c>
      <c r="J111" s="3">
        <v>-7.2916666666666602E-2</v>
      </c>
      <c r="K111" s="3">
        <v>4.3854166666666599</v>
      </c>
      <c r="L111" s="3">
        <v>2.4166666666666599</v>
      </c>
      <c r="M111" s="3">
        <v>7.2708333333333304</v>
      </c>
      <c r="N111" s="3">
        <v>2.34375</v>
      </c>
      <c r="O111" s="3">
        <v>9.8229166666666607</v>
      </c>
      <c r="P111" s="3">
        <v>-0.84197068550015197</v>
      </c>
      <c r="Q111" s="3">
        <v>1.39567143798014</v>
      </c>
      <c r="R111" s="3">
        <v>-0.69642857142857095</v>
      </c>
      <c r="S111" s="3">
        <v>6.1904761904761898</v>
      </c>
      <c r="T111" s="3">
        <v>1.1875</v>
      </c>
      <c r="U111" s="3">
        <v>6.9494047619047601</v>
      </c>
      <c r="V111" s="3">
        <v>0.49107142857142799</v>
      </c>
      <c r="W111" s="3">
        <v>11.252976190476099</v>
      </c>
      <c r="X111" s="3">
        <v>-0.38347821307671998</v>
      </c>
      <c r="Y111" s="3">
        <v>1.18663347542232</v>
      </c>
      <c r="Z111" s="3">
        <v>0.83367210040524797</v>
      </c>
      <c r="AA111" s="3">
        <v>0.8082775561394</v>
      </c>
      <c r="AB111" s="3">
        <v>0.35258686542510898</v>
      </c>
      <c r="AC111" s="3">
        <v>0.56733977794647195</v>
      </c>
      <c r="AD111" s="3">
        <v>0.403664320707321</v>
      </c>
      <c r="AE111" s="3">
        <v>0.32542607188224698</v>
      </c>
      <c r="AF111" s="3">
        <v>0.53841143846511796</v>
      </c>
      <c r="AG111" s="3">
        <v>0.35270950198173501</v>
      </c>
    </row>
    <row r="112" spans="1:33" x14ac:dyDescent="0.45">
      <c r="A112" s="3" t="s">
        <v>45</v>
      </c>
      <c r="B112" s="3">
        <v>3</v>
      </c>
      <c r="C112" s="3">
        <v>0.5</v>
      </c>
      <c r="D112" s="3">
        <v>0.2</v>
      </c>
      <c r="E112" s="3">
        <v>409</v>
      </c>
      <c r="F112" s="3" t="s">
        <v>9</v>
      </c>
      <c r="G112" s="3">
        <v>22</v>
      </c>
      <c r="H112" s="3">
        <v>0.400364339351654</v>
      </c>
      <c r="I112" s="3">
        <v>0.37727963924407898</v>
      </c>
      <c r="J112" s="3">
        <v>-1.1666666666666601</v>
      </c>
      <c r="K112" s="3">
        <v>4.4375</v>
      </c>
      <c r="L112" s="3">
        <v>3.1770833333333299</v>
      </c>
      <c r="M112" s="3">
        <v>7.5729166666666599</v>
      </c>
      <c r="N112" s="3">
        <v>2.0104166666666599</v>
      </c>
      <c r="O112" s="3">
        <v>10.3229166666666</v>
      </c>
      <c r="P112" s="3">
        <v>-1.2525572770009601</v>
      </c>
      <c r="Q112" s="3">
        <v>1.6280717526942501</v>
      </c>
      <c r="R112" s="3">
        <v>1.3422619047619</v>
      </c>
      <c r="S112" s="3">
        <v>7.0208333333333304</v>
      </c>
      <c r="T112" s="3">
        <v>-1.27380952380952</v>
      </c>
      <c r="U112" s="3">
        <v>6.4761904761904701</v>
      </c>
      <c r="V112" s="3">
        <v>6.8452380952380903E-2</v>
      </c>
      <c r="W112" s="3">
        <v>11.4791666666666</v>
      </c>
      <c r="X112" s="3">
        <v>0.43472603311500002</v>
      </c>
      <c r="Y112" s="3">
        <v>1.3396578443300999</v>
      </c>
      <c r="Z112" s="3">
        <v>0.85283435502326499</v>
      </c>
      <c r="AA112" s="3">
        <v>0.81813590660797497</v>
      </c>
      <c r="AB112" s="3">
        <v>0.351154685020446</v>
      </c>
      <c r="AC112" s="3">
        <v>0.56805258989334095</v>
      </c>
      <c r="AD112" s="3">
        <v>0.39903894066810602</v>
      </c>
      <c r="AE112" s="3">
        <v>0.33002874255180298</v>
      </c>
      <c r="AF112" s="3">
        <v>0.53830909729003895</v>
      </c>
      <c r="AG112" s="3">
        <v>0.37458559870719899</v>
      </c>
    </row>
    <row r="113" spans="1:33" x14ac:dyDescent="0.45">
      <c r="A113" s="3" t="s">
        <v>45</v>
      </c>
      <c r="B113" s="3">
        <v>3</v>
      </c>
      <c r="C113" s="3">
        <v>0.5</v>
      </c>
      <c r="D113" s="3">
        <v>0.2</v>
      </c>
      <c r="E113" s="3">
        <v>409</v>
      </c>
      <c r="F113" s="3" t="s">
        <v>9</v>
      </c>
      <c r="G113" s="3">
        <v>23</v>
      </c>
      <c r="H113" s="3">
        <v>0.40275537967681801</v>
      </c>
      <c r="I113" s="3">
        <v>0.39820048213004999</v>
      </c>
      <c r="J113" s="3">
        <v>2.3854166666666599</v>
      </c>
      <c r="K113" s="3">
        <v>6.1354166666666599</v>
      </c>
      <c r="L113" s="3">
        <v>-0.10416666666666601</v>
      </c>
      <c r="M113" s="3">
        <v>5.8541666666666599</v>
      </c>
      <c r="N113" s="3">
        <v>2.28125</v>
      </c>
      <c r="O113" s="3">
        <v>10.2604166666666</v>
      </c>
      <c r="P113" s="3">
        <v>0.16151468606516001</v>
      </c>
      <c r="Q113" s="3">
        <v>1.03660799207277</v>
      </c>
      <c r="R113" s="3">
        <v>1.1398809523809501</v>
      </c>
      <c r="S113" s="3">
        <v>6.0922619047618998</v>
      </c>
      <c r="T113" s="3">
        <v>1.7023809523809501</v>
      </c>
      <c r="U113" s="3">
        <v>6.6845238095238004</v>
      </c>
      <c r="V113" s="3">
        <v>2.8422619047619002</v>
      </c>
      <c r="W113" s="3">
        <v>11.4375</v>
      </c>
      <c r="X113" s="3">
        <v>-0.15342606000020501</v>
      </c>
      <c r="Y113" s="3">
        <v>1.0773334979807001</v>
      </c>
      <c r="Z113" s="3">
        <v>0.81663150115884398</v>
      </c>
      <c r="AA113" s="3">
        <v>0.81430355552154599</v>
      </c>
      <c r="AB113" s="3">
        <v>0.35218435525894098</v>
      </c>
      <c r="AC113" s="3">
        <v>0.56746733188629095</v>
      </c>
      <c r="AD113" s="3">
        <v>0.401744395494461</v>
      </c>
      <c r="AE113" s="3">
        <v>0.32379245758056602</v>
      </c>
      <c r="AF113" s="3">
        <v>0.53749746084213201</v>
      </c>
      <c r="AG113" s="3">
        <v>0.35122850537300099</v>
      </c>
    </row>
    <row r="114" spans="1:33" x14ac:dyDescent="0.45">
      <c r="A114" s="3" t="s">
        <v>45</v>
      </c>
      <c r="B114" s="3">
        <v>3</v>
      </c>
      <c r="C114" s="3">
        <v>0.5</v>
      </c>
      <c r="D114" s="3">
        <v>0.2</v>
      </c>
      <c r="E114" s="3">
        <v>409</v>
      </c>
      <c r="F114" s="3" t="s">
        <v>9</v>
      </c>
      <c r="G114" s="3">
        <v>24</v>
      </c>
      <c r="H114" s="3">
        <v>0.37593540549278198</v>
      </c>
      <c r="I114" s="3">
        <v>0.35122475028038003</v>
      </c>
      <c r="J114" s="3">
        <v>0.29166666666666602</v>
      </c>
      <c r="K114" s="3">
        <v>4.9166666666666599</v>
      </c>
      <c r="L114" s="3">
        <v>-1.6666666666666601</v>
      </c>
      <c r="M114" s="3">
        <v>6.2291666666666599</v>
      </c>
      <c r="N114" s="3">
        <v>-1.375</v>
      </c>
      <c r="O114" s="3">
        <v>9.9583333333333304</v>
      </c>
      <c r="P114" s="3">
        <v>6.4201507782996698E-3</v>
      </c>
      <c r="Q114" s="3">
        <v>1.12176683060576</v>
      </c>
      <c r="R114" s="3">
        <v>-1.0625</v>
      </c>
      <c r="S114" s="3">
        <v>6.0625</v>
      </c>
      <c r="T114" s="3">
        <v>-0.79166666666666596</v>
      </c>
      <c r="U114" s="3">
        <v>6.71428571428571</v>
      </c>
      <c r="V114" s="3">
        <v>-1.8541666666666601</v>
      </c>
      <c r="W114" s="3">
        <v>11.907738095238001</v>
      </c>
      <c r="X114" s="3">
        <v>-0.189304911381006</v>
      </c>
      <c r="Y114" s="3">
        <v>0.96649116155521797</v>
      </c>
      <c r="Z114" s="3">
        <v>0.85741615423704298</v>
      </c>
      <c r="AA114" s="3">
        <v>0.846053123364231</v>
      </c>
      <c r="AB114" s="3">
        <v>0.35417264699935902</v>
      </c>
      <c r="AC114" s="3">
        <v>0.56769877672195401</v>
      </c>
      <c r="AD114" s="3">
        <v>0.40327283740043601</v>
      </c>
      <c r="AE114" s="3">
        <v>0.33748072385787897</v>
      </c>
      <c r="AF114" s="3">
        <v>0.538316190242767</v>
      </c>
      <c r="AG114" s="3">
        <v>0.388811856508255</v>
      </c>
    </row>
    <row r="115" spans="1:33" x14ac:dyDescent="0.45">
      <c r="A115" s="3" t="s">
        <v>45</v>
      </c>
      <c r="B115" s="3">
        <v>3</v>
      </c>
      <c r="C115" s="3">
        <v>0.5</v>
      </c>
      <c r="D115" s="3">
        <v>0.2</v>
      </c>
      <c r="E115" s="3">
        <v>409</v>
      </c>
      <c r="F115" s="3" t="s">
        <v>9</v>
      </c>
      <c r="G115" s="3">
        <v>25</v>
      </c>
      <c r="H115" s="3">
        <v>0.376313775777816</v>
      </c>
      <c r="I115" s="3">
        <v>0.374410361051559</v>
      </c>
      <c r="J115" s="3">
        <v>-0.5</v>
      </c>
      <c r="K115" s="3">
        <v>4.5</v>
      </c>
      <c r="L115" s="3">
        <v>-1.28125</v>
      </c>
      <c r="M115" s="3">
        <v>6.3020833333333304</v>
      </c>
      <c r="N115" s="3">
        <v>-1.78125</v>
      </c>
      <c r="O115" s="3">
        <v>9.4895833333333304</v>
      </c>
      <c r="P115" s="3">
        <v>-0.15523445576289799</v>
      </c>
      <c r="Q115" s="3">
        <v>1.01117753187399</v>
      </c>
      <c r="R115" s="3">
        <v>-1.5386904761904701</v>
      </c>
      <c r="S115" s="3">
        <v>6.1398809523809499</v>
      </c>
      <c r="T115" s="3">
        <v>-1.1636904761904701</v>
      </c>
      <c r="U115" s="3">
        <v>6.9970238095238004</v>
      </c>
      <c r="V115" s="3">
        <v>-2.7023809523809499</v>
      </c>
      <c r="W115" s="3">
        <v>12.1547619047619</v>
      </c>
      <c r="X115" s="3">
        <v>-0.42456362593778901</v>
      </c>
      <c r="Y115" s="3">
        <v>1.29975424498548</v>
      </c>
      <c r="Z115" s="3">
        <v>0.820630186112149</v>
      </c>
      <c r="AA115" s="3">
        <v>0.82963640652418102</v>
      </c>
      <c r="AB115" s="3">
        <v>0.36264297366142201</v>
      </c>
      <c r="AC115" s="3">
        <v>0.56818437576293901</v>
      </c>
      <c r="AD115" s="3">
        <v>0.41786557435989302</v>
      </c>
      <c r="AE115" s="3">
        <v>0.32875093817710799</v>
      </c>
      <c r="AF115" s="3">
        <v>0.53812068700790405</v>
      </c>
      <c r="AG115" s="3">
        <v>0.36665743589401201</v>
      </c>
    </row>
    <row r="116" spans="1:33" x14ac:dyDescent="0.45">
      <c r="A116" s="3" t="s">
        <v>45</v>
      </c>
      <c r="B116" s="3">
        <v>3</v>
      </c>
      <c r="C116" s="3">
        <v>0.5</v>
      </c>
      <c r="D116" s="3">
        <v>0.2</v>
      </c>
      <c r="E116" s="3">
        <v>409</v>
      </c>
      <c r="F116" s="3" t="s">
        <v>9</v>
      </c>
      <c r="G116" s="3">
        <v>27</v>
      </c>
      <c r="H116" s="3">
        <v>0.36681595444679199</v>
      </c>
      <c r="I116" s="3">
        <v>0.36066326498985202</v>
      </c>
      <c r="J116" s="3">
        <v>-1.0729166666666601</v>
      </c>
      <c r="K116" s="3">
        <v>4.1770833333333304</v>
      </c>
      <c r="L116" s="3">
        <v>-1.96875</v>
      </c>
      <c r="M116" s="3">
        <v>6.1979166666666599</v>
      </c>
      <c r="N116" s="3">
        <v>-3.0416666666666599</v>
      </c>
      <c r="O116" s="3">
        <v>9.0833333333333304</v>
      </c>
      <c r="P116" s="3">
        <v>-0.119378135697583</v>
      </c>
      <c r="Q116" s="3">
        <v>0.97719026744627102</v>
      </c>
      <c r="R116" s="3">
        <v>0.57440476190476097</v>
      </c>
      <c r="S116" s="3">
        <v>6.9613095238095202</v>
      </c>
      <c r="T116" s="3">
        <v>-1.06845238095238</v>
      </c>
      <c r="U116" s="3">
        <v>5.9791666666666599</v>
      </c>
      <c r="V116" s="3">
        <v>-0.49404761904761901</v>
      </c>
      <c r="W116" s="3">
        <v>11.4047619047619</v>
      </c>
      <c r="X116" s="3">
        <v>0.23516568135911201</v>
      </c>
      <c r="Y116" s="3">
        <v>1.1082368145150601</v>
      </c>
      <c r="Z116" s="3">
        <v>0.86352039677773296</v>
      </c>
      <c r="AA116" s="3">
        <v>0.85550209680991596</v>
      </c>
      <c r="AB116" s="3">
        <v>0.35999476909637401</v>
      </c>
      <c r="AC116" s="3">
        <v>0.56814795732498102</v>
      </c>
      <c r="AD116" s="3">
        <v>0.413288503885269</v>
      </c>
      <c r="AE116" s="3">
        <v>0.34044879674911499</v>
      </c>
      <c r="AF116" s="3">
        <v>0.53801214694976796</v>
      </c>
      <c r="AG116" s="3">
        <v>0.39725542068481401</v>
      </c>
    </row>
    <row r="117" spans="1:33" x14ac:dyDescent="0.45">
      <c r="A117" s="3" t="s">
        <v>45</v>
      </c>
      <c r="B117" s="3">
        <v>3</v>
      </c>
      <c r="C117" s="3">
        <v>0.5</v>
      </c>
      <c r="D117" s="3">
        <v>0.2</v>
      </c>
      <c r="E117" s="3">
        <v>409</v>
      </c>
      <c r="F117" s="3" t="s">
        <v>9</v>
      </c>
      <c r="G117" s="3">
        <v>29</v>
      </c>
      <c r="H117" s="3">
        <v>0.37699183821678101</v>
      </c>
      <c r="I117" s="3">
        <v>0.37568303942680298</v>
      </c>
      <c r="J117" s="3">
        <v>-0.75</v>
      </c>
      <c r="K117" s="3">
        <v>4.2708333333333304</v>
      </c>
      <c r="L117" s="3">
        <v>-0.45833333333333298</v>
      </c>
      <c r="M117" s="3">
        <v>6.4166666666666599</v>
      </c>
      <c r="N117" s="3">
        <v>-1.2083333333333299</v>
      </c>
      <c r="O117" s="3">
        <v>9.7083333333333304</v>
      </c>
      <c r="P117" s="3">
        <v>-0.44854186925758199</v>
      </c>
      <c r="Q117" s="3">
        <v>1.1411918714185301</v>
      </c>
      <c r="R117" s="3">
        <v>-0.60714285714285698</v>
      </c>
      <c r="S117" s="3">
        <v>5.58928571428571</v>
      </c>
      <c r="T117" s="3">
        <v>-0.5</v>
      </c>
      <c r="U117" s="3">
        <v>6.6666666666666599</v>
      </c>
      <c r="V117" s="3">
        <v>-1.1071428571428501</v>
      </c>
      <c r="W117" s="3">
        <v>11.25</v>
      </c>
      <c r="X117" s="3">
        <v>-7.4679063228775697E-2</v>
      </c>
      <c r="Y117" s="3">
        <v>1.0032974892196</v>
      </c>
      <c r="Z117" s="3">
        <v>0.83787914426213606</v>
      </c>
      <c r="AA117" s="3">
        <v>0.81430422647225797</v>
      </c>
      <c r="AB117" s="3">
        <v>0.35451471805572499</v>
      </c>
      <c r="AC117" s="3">
        <v>0.567993104457855</v>
      </c>
      <c r="AD117" s="3">
        <v>0.40770444273948597</v>
      </c>
      <c r="AE117" s="3">
        <v>0.32641381025314298</v>
      </c>
      <c r="AF117" s="3">
        <v>0.53830021619796697</v>
      </c>
      <c r="AG117" s="3">
        <v>0.35299128293991</v>
      </c>
    </row>
    <row r="118" spans="1:33" x14ac:dyDescent="0.45">
      <c r="A118" s="3" t="s">
        <v>45</v>
      </c>
      <c r="B118" s="3">
        <v>3</v>
      </c>
      <c r="C118" s="3">
        <v>0.5</v>
      </c>
      <c r="D118" s="3">
        <v>0.2</v>
      </c>
      <c r="E118" s="3">
        <v>409</v>
      </c>
      <c r="F118" s="3" t="s">
        <v>9</v>
      </c>
      <c r="G118" s="3">
        <v>30</v>
      </c>
      <c r="H118" s="3">
        <v>0.36772611737251198</v>
      </c>
      <c r="I118" s="3">
        <v>0.38048362731933499</v>
      </c>
      <c r="J118" s="3">
        <v>-0.45833333333333298</v>
      </c>
      <c r="K118" s="3">
        <v>4.375</v>
      </c>
      <c r="L118" s="3">
        <v>-1.4166666666666601</v>
      </c>
      <c r="M118" s="3">
        <v>7.25</v>
      </c>
      <c r="N118" s="3">
        <v>-1.875</v>
      </c>
      <c r="O118" s="3">
        <v>10.0625</v>
      </c>
      <c r="P118" s="3">
        <v>-0.25901838327635002</v>
      </c>
      <c r="Q118" s="3">
        <v>1.2800152986079301</v>
      </c>
      <c r="R118" s="3">
        <v>-0.59821428571428503</v>
      </c>
      <c r="S118" s="3">
        <v>6.5386904761904701</v>
      </c>
      <c r="T118" s="3">
        <v>-1.2351190476190399</v>
      </c>
      <c r="U118" s="3">
        <v>6.90178571428571</v>
      </c>
      <c r="V118" s="3">
        <v>-1.8333333333333299</v>
      </c>
      <c r="W118" s="3">
        <v>12.511904761904701</v>
      </c>
      <c r="X118" s="3">
        <v>7.5466711243129203E-2</v>
      </c>
      <c r="Y118" s="3">
        <v>1.03532632110344</v>
      </c>
      <c r="Z118" s="3">
        <v>0.863413914693963</v>
      </c>
      <c r="AA118" s="3">
        <v>0.81955981092873897</v>
      </c>
      <c r="AB118" s="3">
        <v>0.35884866118431002</v>
      </c>
      <c r="AC118" s="3">
        <v>0.56811618804931596</v>
      </c>
      <c r="AD118" s="3">
        <v>0.41993248462677002</v>
      </c>
      <c r="AE118" s="3">
        <v>0.31201991438865601</v>
      </c>
      <c r="AF118" s="3">
        <v>0.53614878654479903</v>
      </c>
      <c r="AG118" s="3">
        <v>0.33763375878334001</v>
      </c>
    </row>
    <row r="119" spans="1:33" x14ac:dyDescent="0.45">
      <c r="A119" s="3" t="s">
        <v>46</v>
      </c>
      <c r="B119" s="3">
        <v>5</v>
      </c>
      <c r="C119" s="3">
        <v>0.5</v>
      </c>
      <c r="D119" s="3">
        <v>0.2</v>
      </c>
      <c r="E119" s="3">
        <v>409</v>
      </c>
      <c r="F119" s="3" t="s">
        <v>9</v>
      </c>
      <c r="G119" s="3">
        <v>6</v>
      </c>
      <c r="H119" s="3">
        <v>0.46934905648231501</v>
      </c>
      <c r="I119" s="3">
        <v>0.44566735625267001</v>
      </c>
      <c r="J119" s="3">
        <v>0.67708333333333304</v>
      </c>
      <c r="K119" s="3">
        <v>4.1354166666666599</v>
      </c>
      <c r="L119" s="3">
        <v>-1.9375</v>
      </c>
      <c r="M119" s="3">
        <v>6.875</v>
      </c>
      <c r="N119" s="3">
        <v>-1.2604166666666601</v>
      </c>
      <c r="O119" s="3">
        <v>9.46875</v>
      </c>
      <c r="P119" s="3">
        <v>-4.0973783672369202E-2</v>
      </c>
      <c r="Q119" s="3">
        <v>1.28763080352103</v>
      </c>
      <c r="R119" s="3">
        <v>1.0922619047619</v>
      </c>
      <c r="S119" s="3">
        <v>6.7946428571428497</v>
      </c>
      <c r="T119" s="3">
        <v>7.1428571428571397E-2</v>
      </c>
      <c r="U119" s="3">
        <v>8.8035714285714199</v>
      </c>
      <c r="V119" s="3">
        <v>1.1636904761904701</v>
      </c>
      <c r="W119" s="3">
        <v>13.574404761904701</v>
      </c>
      <c r="X119" s="3">
        <v>-9.7733206086049795E-2</v>
      </c>
      <c r="Y119" s="3">
        <v>1.6451265960569099</v>
      </c>
      <c r="Z119" s="3">
        <v>0.81793136623434204</v>
      </c>
      <c r="AA119" s="3">
        <v>0.80452040018618898</v>
      </c>
      <c r="AB119" s="3">
        <v>0.335098206996917</v>
      </c>
      <c r="AC119" s="3">
        <v>0.567105412483215</v>
      </c>
      <c r="AD119" s="3">
        <v>0.36548739671707098</v>
      </c>
      <c r="AE119" s="3">
        <v>0.30249887704849199</v>
      </c>
      <c r="AF119" s="3">
        <v>0.53726387023925704</v>
      </c>
      <c r="AG119" s="3">
        <v>0.29281046986579801</v>
      </c>
    </row>
    <row r="120" spans="1:33" x14ac:dyDescent="0.45">
      <c r="A120" s="3" t="s">
        <v>46</v>
      </c>
      <c r="B120" s="3">
        <v>5</v>
      </c>
      <c r="C120" s="3">
        <v>0.5</v>
      </c>
      <c r="D120" s="3">
        <v>0.2</v>
      </c>
      <c r="E120" s="3">
        <v>409</v>
      </c>
      <c r="F120" s="3" t="s">
        <v>9</v>
      </c>
      <c r="G120" s="3">
        <v>12</v>
      </c>
      <c r="H120" s="3">
        <v>0.40609949827194203</v>
      </c>
      <c r="I120" s="3">
        <v>0.37858447432518</v>
      </c>
      <c r="J120" s="3">
        <v>-4.1666666666666602E-2</v>
      </c>
      <c r="K120" s="3">
        <v>4.5833333333333304</v>
      </c>
      <c r="L120" s="3">
        <v>0.19791666666666599</v>
      </c>
      <c r="M120" s="3">
        <v>6.65625</v>
      </c>
      <c r="N120" s="3">
        <v>0.15625</v>
      </c>
      <c r="O120" s="3">
        <v>9.78125</v>
      </c>
      <c r="P120" s="3">
        <v>-0.42151938091670799</v>
      </c>
      <c r="Q120" s="3">
        <v>1.1964149166793701</v>
      </c>
      <c r="R120" s="3">
        <v>0.48214285714285698</v>
      </c>
      <c r="S120" s="3">
        <v>6.3630952380952301</v>
      </c>
      <c r="T120" s="3">
        <v>-0.49107142857142799</v>
      </c>
      <c r="U120" s="3">
        <v>6.5922619047618998</v>
      </c>
      <c r="V120" s="3">
        <v>-8.9285714285714194E-3</v>
      </c>
      <c r="W120" s="3">
        <v>11.324404761904701</v>
      </c>
      <c r="X120" s="3">
        <v>4.8232548985640597E-2</v>
      </c>
      <c r="Y120" s="3">
        <v>1.2850458408230201</v>
      </c>
      <c r="Z120" s="3">
        <v>0.85847636234774505</v>
      </c>
      <c r="AA120" s="3">
        <v>0.83975594608059201</v>
      </c>
      <c r="AB120" s="3">
        <v>0.346651881933212</v>
      </c>
      <c r="AC120" s="3">
        <v>0.56763285398483199</v>
      </c>
      <c r="AD120" s="3">
        <v>0.38581380248069702</v>
      </c>
      <c r="AE120" s="3">
        <v>0.33354431390762301</v>
      </c>
      <c r="AF120" s="3">
        <v>0.53832370042800903</v>
      </c>
      <c r="AG120" s="3">
        <v>0.37852224707603399</v>
      </c>
    </row>
    <row r="121" spans="1:33" x14ac:dyDescent="0.45">
      <c r="A121" s="3" t="s">
        <v>46</v>
      </c>
      <c r="B121" s="3">
        <v>5</v>
      </c>
      <c r="C121" s="3">
        <v>0.5</v>
      </c>
      <c r="D121" s="3">
        <v>0.2</v>
      </c>
      <c r="E121" s="3">
        <v>409</v>
      </c>
      <c r="F121" s="3" t="s">
        <v>9</v>
      </c>
      <c r="G121" s="3">
        <v>14</v>
      </c>
      <c r="H121" s="3">
        <v>0.42004096508026101</v>
      </c>
      <c r="I121" s="3">
        <v>0.396070927381515</v>
      </c>
      <c r="J121" s="3">
        <v>-5.2083333333333301E-2</v>
      </c>
      <c r="K121" s="3">
        <v>3.90625</v>
      </c>
      <c r="L121" s="3">
        <v>-2.25</v>
      </c>
      <c r="M121" s="3">
        <v>6.25</v>
      </c>
      <c r="N121" s="3">
        <v>-2.3020833333333299</v>
      </c>
      <c r="O121" s="3">
        <v>9.0520833333333304</v>
      </c>
      <c r="P121" s="3">
        <v>3.1173188901982899E-2</v>
      </c>
      <c r="Q121" s="3">
        <v>1.0185314404621399</v>
      </c>
      <c r="R121" s="3">
        <v>-5.6547619047618999E-2</v>
      </c>
      <c r="S121" s="3">
        <v>5.5505952380952301</v>
      </c>
      <c r="T121" s="3">
        <v>0.86309523809523803</v>
      </c>
      <c r="U121" s="3">
        <v>7.4583333333333304</v>
      </c>
      <c r="V121" s="3">
        <v>0.80654761904761896</v>
      </c>
      <c r="W121" s="3">
        <v>11.574404761904701</v>
      </c>
      <c r="X121" s="3">
        <v>-0.40186849916664602</v>
      </c>
      <c r="Y121" s="3">
        <v>1.2269854716934401</v>
      </c>
      <c r="Z121" s="3">
        <v>0.84919392057359</v>
      </c>
      <c r="AA121" s="3">
        <v>0.84120099289628503</v>
      </c>
      <c r="AB121" s="3">
        <v>0.34989717602729797</v>
      </c>
      <c r="AC121" s="3">
        <v>0.56782406568527199</v>
      </c>
      <c r="AD121" s="3">
        <v>0.39786416292190502</v>
      </c>
      <c r="AE121" s="3">
        <v>0.327975243330001</v>
      </c>
      <c r="AF121" s="3">
        <v>0.53782534599304199</v>
      </c>
      <c r="AG121" s="3">
        <v>0.36386173963546697</v>
      </c>
    </row>
    <row r="122" spans="1:33" x14ac:dyDescent="0.45">
      <c r="A122" s="3" t="s">
        <v>46</v>
      </c>
      <c r="B122" s="3">
        <v>5</v>
      </c>
      <c r="C122" s="3">
        <v>0.5</v>
      </c>
      <c r="D122" s="3">
        <v>0.2</v>
      </c>
      <c r="E122" s="3">
        <v>409</v>
      </c>
      <c r="F122" s="3" t="s">
        <v>9</v>
      </c>
      <c r="G122" s="3">
        <v>19</v>
      </c>
      <c r="H122" s="3">
        <v>0.39623552560806202</v>
      </c>
      <c r="I122" s="3">
        <v>0.36358317732810902</v>
      </c>
      <c r="J122" s="3">
        <v>0.23958333333333301</v>
      </c>
      <c r="K122" s="3">
        <v>4.21875</v>
      </c>
      <c r="L122" s="3">
        <v>-1.5208333333333299</v>
      </c>
      <c r="M122" s="3">
        <v>6.3541666666666599</v>
      </c>
      <c r="N122" s="3">
        <v>-1.28125</v>
      </c>
      <c r="O122" s="3">
        <v>8.5520833333333304</v>
      </c>
      <c r="P122" s="3">
        <v>-0.122966921669728</v>
      </c>
      <c r="Q122" s="3">
        <v>1.2421278801159901</v>
      </c>
      <c r="R122" s="3">
        <v>-0.52380952380952295</v>
      </c>
      <c r="S122" s="3">
        <v>5.6369047619047601</v>
      </c>
      <c r="T122" s="3">
        <v>-1</v>
      </c>
      <c r="U122" s="3">
        <v>6.5</v>
      </c>
      <c r="V122" s="3">
        <v>-1.52380952380952</v>
      </c>
      <c r="W122" s="3">
        <v>10.922619047618999</v>
      </c>
      <c r="X122" s="3">
        <v>-6.6758314324926904E-2</v>
      </c>
      <c r="Y122" s="3">
        <v>0.97129045072930098</v>
      </c>
      <c r="Z122" s="3">
        <v>0.85566955707107495</v>
      </c>
      <c r="AA122" s="3">
        <v>0.84626420894538201</v>
      </c>
      <c r="AB122" s="3">
        <v>0.35000398755073497</v>
      </c>
      <c r="AC122" s="3">
        <v>0.56790494918823198</v>
      </c>
      <c r="AD122" s="3">
        <v>0.392020493745803</v>
      </c>
      <c r="AE122" s="3">
        <v>0.32623901963233898</v>
      </c>
      <c r="AF122" s="3">
        <v>0.53872722387313798</v>
      </c>
      <c r="AG122" s="3">
        <v>0.36830592155456499</v>
      </c>
    </row>
    <row r="123" spans="1:33" x14ac:dyDescent="0.45">
      <c r="A123" s="3" t="s">
        <v>46</v>
      </c>
      <c r="B123" s="3">
        <v>5</v>
      </c>
      <c r="C123" s="3">
        <v>0.5</v>
      </c>
      <c r="D123" s="3">
        <v>0.2</v>
      </c>
      <c r="E123" s="3">
        <v>409</v>
      </c>
      <c r="F123" s="3" t="s">
        <v>9</v>
      </c>
      <c r="G123" s="3">
        <v>20</v>
      </c>
      <c r="H123" s="3">
        <v>0.37473484873771601</v>
      </c>
      <c r="I123" s="3">
        <v>0.38203221559524497</v>
      </c>
      <c r="J123" s="3">
        <v>-1.3125</v>
      </c>
      <c r="K123" s="3">
        <v>4.5833333333333304</v>
      </c>
      <c r="L123" s="3">
        <v>-0.16666666666666599</v>
      </c>
      <c r="M123" s="3">
        <v>6.1666666666666599</v>
      </c>
      <c r="N123" s="3">
        <v>-1.4791666666666601</v>
      </c>
      <c r="O123" s="3">
        <v>8.7083333333333304</v>
      </c>
      <c r="P123" s="3">
        <v>-0.63963368557673705</v>
      </c>
      <c r="Q123" s="3">
        <v>1.2560069183310001</v>
      </c>
      <c r="R123" s="3">
        <v>-0.84821428571428503</v>
      </c>
      <c r="S123" s="3">
        <v>6.1279761904761898</v>
      </c>
      <c r="T123" s="3">
        <v>-0.91071428571428503</v>
      </c>
      <c r="U123" s="3">
        <v>6.5535714285714199</v>
      </c>
      <c r="V123" s="3">
        <v>-1.7589285714285701</v>
      </c>
      <c r="W123" s="3">
        <v>11.6160714285714</v>
      </c>
      <c r="X123" s="3">
        <v>-0.122217222498577</v>
      </c>
      <c r="Y123" s="3">
        <v>0.95960421668251294</v>
      </c>
      <c r="Z123" s="3">
        <v>0.86195234702318202</v>
      </c>
      <c r="AA123" s="3">
        <v>0.831942783352005</v>
      </c>
      <c r="AB123" s="3">
        <v>0.36362969875335599</v>
      </c>
      <c r="AC123" s="3">
        <v>0.56817984580993597</v>
      </c>
      <c r="AD123" s="3">
        <v>0.42276772856712302</v>
      </c>
      <c r="AE123" s="3">
        <v>0.31512039899826</v>
      </c>
      <c r="AF123" s="3">
        <v>0.53683793544769198</v>
      </c>
      <c r="AG123" s="3">
        <v>0.34049227833747803</v>
      </c>
    </row>
    <row r="124" spans="1:33" x14ac:dyDescent="0.45">
      <c r="A124" s="3" t="s">
        <v>46</v>
      </c>
      <c r="B124" s="3">
        <v>5</v>
      </c>
      <c r="C124" s="3">
        <v>0.5</v>
      </c>
      <c r="D124" s="3">
        <v>0.2</v>
      </c>
      <c r="E124" s="3">
        <v>409</v>
      </c>
      <c r="F124" s="3" t="s">
        <v>9</v>
      </c>
      <c r="G124" s="3">
        <v>22</v>
      </c>
      <c r="H124" s="3">
        <v>0.39626321196556002</v>
      </c>
      <c r="I124" s="3">
        <v>0.39231917262077298</v>
      </c>
      <c r="J124" s="3">
        <v>0.8125</v>
      </c>
      <c r="K124" s="3">
        <v>4.7708333333333304</v>
      </c>
      <c r="L124" s="3">
        <v>0.15625</v>
      </c>
      <c r="M124" s="3">
        <v>5.9895833333333304</v>
      </c>
      <c r="N124" s="3">
        <v>0.96875</v>
      </c>
      <c r="O124" s="3">
        <v>9.4895833333333304</v>
      </c>
      <c r="P124" s="3">
        <v>-0.228690350164961</v>
      </c>
      <c r="Q124" s="3">
        <v>1.0806119917143799</v>
      </c>
      <c r="R124" s="3">
        <v>0.199404761904761</v>
      </c>
      <c r="S124" s="3">
        <v>5.6934523809523796</v>
      </c>
      <c r="T124" s="3">
        <v>0.44642857142857101</v>
      </c>
      <c r="U124" s="3">
        <v>6.2202380952380896</v>
      </c>
      <c r="V124" s="3">
        <v>0.64583333333333304</v>
      </c>
      <c r="W124" s="3">
        <v>11.026785714285699</v>
      </c>
      <c r="X124" s="3">
        <v>-0.131707784447921</v>
      </c>
      <c r="Y124" s="3">
        <v>1.00325264775435</v>
      </c>
      <c r="Z124" s="3">
        <v>0.82384978039775503</v>
      </c>
      <c r="AA124" s="3">
        <v>0.82936458036150795</v>
      </c>
      <c r="AB124" s="3">
        <v>0.35412663221359197</v>
      </c>
      <c r="AC124" s="3">
        <v>0.56781679391860895</v>
      </c>
      <c r="AD124" s="3">
        <v>0.40415516495704601</v>
      </c>
      <c r="AE124" s="3">
        <v>0.33151766657829201</v>
      </c>
      <c r="AF124" s="3">
        <v>0.53847223520278897</v>
      </c>
      <c r="AG124" s="3">
        <v>0.36569148302078203</v>
      </c>
    </row>
    <row r="125" spans="1:33" x14ac:dyDescent="0.45">
      <c r="A125" s="3" t="s">
        <v>46</v>
      </c>
      <c r="B125" s="3">
        <v>5</v>
      </c>
      <c r="C125" s="3">
        <v>0.5</v>
      </c>
      <c r="D125" s="3">
        <v>0.2</v>
      </c>
      <c r="E125" s="3">
        <v>409</v>
      </c>
      <c r="F125" s="3" t="s">
        <v>9</v>
      </c>
      <c r="G125" s="3">
        <v>23</v>
      </c>
      <c r="H125" s="3">
        <v>0.39918601512908902</v>
      </c>
      <c r="I125" s="3">
        <v>0.38426184654235801</v>
      </c>
      <c r="J125" s="3">
        <v>2.0729166666666599</v>
      </c>
      <c r="K125" s="3">
        <v>5.09375</v>
      </c>
      <c r="L125" s="3">
        <v>-0.15625</v>
      </c>
      <c r="M125" s="3">
        <v>5.71875</v>
      </c>
      <c r="N125" s="3">
        <v>1.9166666666666601</v>
      </c>
      <c r="O125" s="3">
        <v>9.375</v>
      </c>
      <c r="P125" s="3">
        <v>-3.6101008958793201E-3</v>
      </c>
      <c r="Q125" s="3">
        <v>1.0435862624366301</v>
      </c>
      <c r="R125" s="3">
        <v>-4.1666666666666602E-2</v>
      </c>
      <c r="S125" s="3">
        <v>6.6666666666666599</v>
      </c>
      <c r="T125" s="3">
        <v>-1.2351190476190399</v>
      </c>
      <c r="U125" s="3">
        <v>6.4613095238095202</v>
      </c>
      <c r="V125" s="3">
        <v>-1.27678571428571</v>
      </c>
      <c r="W125" s="3">
        <v>11.9553571428571</v>
      </c>
      <c r="X125" s="3">
        <v>0.26992176359602599</v>
      </c>
      <c r="Y125" s="3">
        <v>1.0655330492872299</v>
      </c>
      <c r="Z125" s="3">
        <v>0.82834781739459196</v>
      </c>
      <c r="AA125" s="3">
        <v>0.83911951272053398</v>
      </c>
      <c r="AB125" s="3">
        <v>0.35226416587829501</v>
      </c>
      <c r="AC125" s="3">
        <v>0.56797915697097701</v>
      </c>
      <c r="AD125" s="3">
        <v>0.39497023820876997</v>
      </c>
      <c r="AE125" s="3">
        <v>0.327466070652008</v>
      </c>
      <c r="AF125" s="3">
        <v>0.53823226690292303</v>
      </c>
      <c r="AG125" s="3">
        <v>0.34994453191757202</v>
      </c>
    </row>
    <row r="126" spans="1:33" x14ac:dyDescent="0.45">
      <c r="A126" s="3" t="s">
        <v>46</v>
      </c>
      <c r="B126" s="3">
        <v>5</v>
      </c>
      <c r="C126" s="3">
        <v>0.5</v>
      </c>
      <c r="D126" s="3">
        <v>0.2</v>
      </c>
      <c r="E126" s="3">
        <v>409</v>
      </c>
      <c r="F126" s="3" t="s">
        <v>9</v>
      </c>
      <c r="G126" s="3">
        <v>24</v>
      </c>
      <c r="H126" s="3">
        <v>0.38294383883476202</v>
      </c>
      <c r="I126" s="3">
        <v>0.36778926849365201</v>
      </c>
      <c r="J126" s="3">
        <v>-1.5625</v>
      </c>
      <c r="K126" s="3">
        <v>4.625</v>
      </c>
      <c r="L126" s="3">
        <v>2.6041666666666599</v>
      </c>
      <c r="M126" s="3">
        <v>7.3541666666666599</v>
      </c>
      <c r="N126" s="3">
        <v>1.0416666666666601</v>
      </c>
      <c r="O126" s="3">
        <v>10.5416666666666</v>
      </c>
      <c r="P126" s="3">
        <v>-1.202563005836</v>
      </c>
      <c r="Q126" s="3">
        <v>1.4775914193373501</v>
      </c>
      <c r="R126" s="3">
        <v>-0.88095238095238004</v>
      </c>
      <c r="S126" s="3">
        <v>6.1666666666666599</v>
      </c>
      <c r="T126" s="3">
        <v>0.29761904761904701</v>
      </c>
      <c r="U126" s="3">
        <v>7.3095238095238004</v>
      </c>
      <c r="V126" s="3">
        <v>-0.58333333333333304</v>
      </c>
      <c r="W126" s="3">
        <v>11.625</v>
      </c>
      <c r="X126" s="3">
        <v>-0.25148382871469599</v>
      </c>
      <c r="Y126" s="3">
        <v>1.2806270538064499</v>
      </c>
      <c r="Z126" s="3">
        <v>0.85073342353864101</v>
      </c>
      <c r="AA126" s="3">
        <v>0.82365873006943702</v>
      </c>
      <c r="AB126" s="3">
        <v>0.36780449748039201</v>
      </c>
      <c r="AC126" s="3">
        <v>0.56789922714233398</v>
      </c>
      <c r="AD126" s="3">
        <v>0.43411028385162298</v>
      </c>
      <c r="AE126" s="3">
        <v>0.32870185375213601</v>
      </c>
      <c r="AF126" s="3">
        <v>0.53878313302993697</v>
      </c>
      <c r="AG126" s="3">
        <v>0.36215862631797702</v>
      </c>
    </row>
    <row r="127" spans="1:33" x14ac:dyDescent="0.45">
      <c r="A127" s="3" t="s">
        <v>46</v>
      </c>
      <c r="B127" s="3">
        <v>5</v>
      </c>
      <c r="C127" s="3">
        <v>0.5</v>
      </c>
      <c r="D127" s="3">
        <v>0.2</v>
      </c>
      <c r="E127" s="3">
        <v>409</v>
      </c>
      <c r="F127" s="3" t="s">
        <v>9</v>
      </c>
      <c r="G127" s="3">
        <v>25</v>
      </c>
      <c r="H127" s="3">
        <v>0.38811072707176197</v>
      </c>
      <c r="I127" s="3">
        <v>0.37579557299613903</v>
      </c>
      <c r="J127" s="3">
        <v>0.14583333333333301</v>
      </c>
      <c r="K127" s="3">
        <v>4.2916666666666599</v>
      </c>
      <c r="L127" s="3">
        <v>0.60416666666666596</v>
      </c>
      <c r="M127" s="3">
        <v>5.1458333333333304</v>
      </c>
      <c r="N127" s="3">
        <v>0.75</v>
      </c>
      <c r="O127" s="3">
        <v>8.5416666666666607</v>
      </c>
      <c r="P127" s="3">
        <v>-0.11869268878379099</v>
      </c>
      <c r="Q127" s="3">
        <v>0.86331967661379205</v>
      </c>
      <c r="R127" s="3">
        <v>-1.4285714285714199</v>
      </c>
      <c r="S127" s="3">
        <v>5.5714285714285703</v>
      </c>
      <c r="T127" s="3">
        <v>-9.5238095238095205E-2</v>
      </c>
      <c r="U127" s="3">
        <v>6.7440476190476097</v>
      </c>
      <c r="V127" s="3">
        <v>-1.52380952380952</v>
      </c>
      <c r="W127" s="3">
        <v>10.9345238095238</v>
      </c>
      <c r="X127" s="3">
        <v>-0.40786808361226301</v>
      </c>
      <c r="Y127" s="3">
        <v>1.1105229626622299</v>
      </c>
      <c r="Z127" s="3">
        <v>0.85302505105947601</v>
      </c>
      <c r="AA127" s="3">
        <v>0.82671941282431005</v>
      </c>
      <c r="AB127" s="3">
        <v>0.346897542476654</v>
      </c>
      <c r="AC127" s="3">
        <v>0.56698673963546697</v>
      </c>
      <c r="AD127" s="3">
        <v>0.38757818937301602</v>
      </c>
      <c r="AE127" s="3">
        <v>0.31790700554847701</v>
      </c>
      <c r="AF127" s="3">
        <v>0.53683280944824197</v>
      </c>
      <c r="AG127" s="3">
        <v>0.342852443456649</v>
      </c>
    </row>
    <row r="128" spans="1:33" x14ac:dyDescent="0.45">
      <c r="A128" s="3" t="s">
        <v>46</v>
      </c>
      <c r="B128" s="3">
        <v>5</v>
      </c>
      <c r="C128" s="3">
        <v>0.5</v>
      </c>
      <c r="D128" s="3">
        <v>0.2</v>
      </c>
      <c r="E128" s="3">
        <v>409</v>
      </c>
      <c r="F128" s="3" t="s">
        <v>9</v>
      </c>
      <c r="G128" s="3">
        <v>26</v>
      </c>
      <c r="H128" s="3">
        <v>0.39240309596061701</v>
      </c>
      <c r="I128" s="3">
        <v>0.38247275352478</v>
      </c>
      <c r="J128" s="3">
        <v>-0.47916666666666602</v>
      </c>
      <c r="K128" s="3">
        <v>3.8958333333333299</v>
      </c>
      <c r="L128" s="3">
        <v>-0.47916666666666602</v>
      </c>
      <c r="M128" s="3">
        <v>6.7708333333333304</v>
      </c>
      <c r="N128" s="3">
        <v>-0.95833333333333304</v>
      </c>
      <c r="O128" s="3">
        <v>9.3333333333333304</v>
      </c>
      <c r="P128" s="3">
        <v>-0.54633537200799398</v>
      </c>
      <c r="Q128" s="3">
        <v>1.2640462050382</v>
      </c>
      <c r="R128" s="3">
        <v>-0.389880952380952</v>
      </c>
      <c r="S128" s="3">
        <v>5.9196428571428497</v>
      </c>
      <c r="T128" s="3">
        <v>-1.8898809523809501</v>
      </c>
      <c r="U128" s="3">
        <v>6.9851190476190403</v>
      </c>
      <c r="V128" s="3">
        <v>-2.2797619047619002</v>
      </c>
      <c r="W128" s="3">
        <v>11.470238095238001</v>
      </c>
      <c r="X128" s="3">
        <v>0.146970537237123</v>
      </c>
      <c r="Y128" s="3">
        <v>1.0967675855736101</v>
      </c>
      <c r="Z128" s="3">
        <v>0.85029809500126796</v>
      </c>
      <c r="AA128" s="3">
        <v>0.80464122216081402</v>
      </c>
      <c r="AB128" s="3">
        <v>0.355578362941741</v>
      </c>
      <c r="AC128" s="3">
        <v>0.56827777624130205</v>
      </c>
      <c r="AD128" s="3">
        <v>0.40695360302925099</v>
      </c>
      <c r="AE128" s="3">
        <v>0.319402605295181</v>
      </c>
      <c r="AF128" s="3">
        <v>0.53751218318939198</v>
      </c>
      <c r="AG128" s="3">
        <v>0.34322658181190402</v>
      </c>
    </row>
    <row r="129" spans="1:33" x14ac:dyDescent="0.45">
      <c r="A129" s="3" t="s">
        <v>46</v>
      </c>
      <c r="B129" s="3">
        <v>5</v>
      </c>
      <c r="C129" s="3">
        <v>0.5</v>
      </c>
      <c r="D129" s="3">
        <v>0.2</v>
      </c>
      <c r="E129" s="3">
        <v>409</v>
      </c>
      <c r="F129" s="3" t="s">
        <v>9</v>
      </c>
      <c r="G129" s="3">
        <v>27</v>
      </c>
      <c r="H129" s="3">
        <v>0.371673643589019</v>
      </c>
      <c r="I129" s="3">
        <v>0.35822400450706399</v>
      </c>
      <c r="J129" s="3">
        <v>1.125</v>
      </c>
      <c r="K129" s="3">
        <v>4.2708333333333304</v>
      </c>
      <c r="L129" s="3">
        <v>-1.3854166666666601</v>
      </c>
      <c r="M129" s="3">
        <v>5.78125</v>
      </c>
      <c r="N129" s="3">
        <v>-0.26041666666666602</v>
      </c>
      <c r="O129" s="3">
        <v>8.6979166666666607</v>
      </c>
      <c r="P129" s="3">
        <v>9.7144828862192903E-2</v>
      </c>
      <c r="Q129" s="3">
        <v>1.0033243625469599</v>
      </c>
      <c r="R129" s="3">
        <v>-0.58928571428571397</v>
      </c>
      <c r="S129" s="3">
        <v>5.8035714285714199</v>
      </c>
      <c r="T129" s="3">
        <v>-0.55357142857142805</v>
      </c>
      <c r="U129" s="3">
        <v>6.4226190476190403</v>
      </c>
      <c r="V129" s="3">
        <v>-1.1428571428571399</v>
      </c>
      <c r="W129" s="3">
        <v>11.2916666666666</v>
      </c>
      <c r="X129" s="3">
        <v>-7.9371894973378501E-2</v>
      </c>
      <c r="Y129" s="3">
        <v>0.99103337610086295</v>
      </c>
      <c r="Z129" s="3">
        <v>0.86210733533495598</v>
      </c>
      <c r="AA129" s="3">
        <v>0.85023939104894197</v>
      </c>
      <c r="AB129" s="3">
        <v>0.359755039215087</v>
      </c>
      <c r="AC129" s="3">
        <v>0.56804794073104803</v>
      </c>
      <c r="AD129" s="3">
        <v>0.41673716902732799</v>
      </c>
      <c r="AE129" s="3">
        <v>0.33430913090705799</v>
      </c>
      <c r="AF129" s="3">
        <v>0.53825885057449296</v>
      </c>
      <c r="AG129" s="3">
        <v>0.37092587351799</v>
      </c>
    </row>
    <row r="130" spans="1:33" x14ac:dyDescent="0.45">
      <c r="A130" s="3" t="s">
        <v>46</v>
      </c>
      <c r="B130" s="3">
        <v>5</v>
      </c>
      <c r="C130" s="3">
        <v>0.5</v>
      </c>
      <c r="D130" s="3">
        <v>0.2</v>
      </c>
      <c r="E130" s="3">
        <v>409</v>
      </c>
      <c r="F130" s="3" t="s">
        <v>9</v>
      </c>
      <c r="G130" s="3">
        <v>29</v>
      </c>
      <c r="H130" s="3">
        <v>0.380644500255584</v>
      </c>
      <c r="I130" s="3">
        <v>0.35769766569137501</v>
      </c>
      <c r="J130" s="3">
        <v>-1.1458333333333299</v>
      </c>
      <c r="K130" s="3">
        <v>4.3125</v>
      </c>
      <c r="L130" s="3">
        <v>-3.625</v>
      </c>
      <c r="M130" s="3">
        <v>7.9166666666666599</v>
      </c>
      <c r="N130" s="3">
        <v>-4.7708333333333304</v>
      </c>
      <c r="O130" s="3">
        <v>10.4166666666666</v>
      </c>
      <c r="P130" s="3">
        <v>-1.2794567768434901E-2</v>
      </c>
      <c r="Q130" s="3">
        <v>1.1620021608881499</v>
      </c>
      <c r="R130" s="3">
        <v>-0.40178571428571402</v>
      </c>
      <c r="S130" s="3">
        <v>5.8720238095238004</v>
      </c>
      <c r="T130" s="3">
        <v>-2.0178571428571401</v>
      </c>
      <c r="U130" s="3">
        <v>7.125</v>
      </c>
      <c r="V130" s="3">
        <v>-2.4196428571428501</v>
      </c>
      <c r="W130" s="3">
        <v>12.360119047618999</v>
      </c>
      <c r="X130" s="3">
        <v>0.14172403205374901</v>
      </c>
      <c r="Y130" s="3">
        <v>0.99180662750555304</v>
      </c>
      <c r="Z130" s="3">
        <v>0.85248552737646099</v>
      </c>
      <c r="AA130" s="3">
        <v>0.83617601534275199</v>
      </c>
      <c r="AB130" s="3">
        <v>0.35488596558570801</v>
      </c>
      <c r="AC130" s="3">
        <v>0.56790065765380804</v>
      </c>
      <c r="AD130" s="3">
        <v>0.40487164258956898</v>
      </c>
      <c r="AE130" s="3">
        <v>0.33041909337043701</v>
      </c>
      <c r="AF130" s="3">
        <v>0.53857612609863204</v>
      </c>
      <c r="AG130" s="3">
        <v>0.360916137695312</v>
      </c>
    </row>
    <row r="131" spans="1:33" x14ac:dyDescent="0.45">
      <c r="A131" s="3" t="s">
        <v>46</v>
      </c>
      <c r="B131" s="3">
        <v>5</v>
      </c>
      <c r="C131" s="3">
        <v>0.5</v>
      </c>
      <c r="D131" s="3">
        <v>0.2</v>
      </c>
      <c r="E131" s="3">
        <v>409</v>
      </c>
      <c r="F131" s="3" t="s">
        <v>9</v>
      </c>
      <c r="G131" s="3">
        <v>30</v>
      </c>
      <c r="H131" s="3">
        <v>0.357684105634689</v>
      </c>
      <c r="I131" s="3">
        <v>0.36909243464469899</v>
      </c>
      <c r="J131" s="3">
        <v>-0.83333333333333304</v>
      </c>
      <c r="K131" s="3">
        <v>5.4583333333333304</v>
      </c>
      <c r="L131" s="3">
        <v>-1.125</v>
      </c>
      <c r="M131" s="3">
        <v>5.7291666666666599</v>
      </c>
      <c r="N131" s="3">
        <v>-1.9583333333333299</v>
      </c>
      <c r="O131" s="3">
        <v>9.4791666666666607</v>
      </c>
      <c r="P131" s="3">
        <v>-8.8514724404348405E-2</v>
      </c>
      <c r="Q131" s="3">
        <v>0.92568093815138797</v>
      </c>
      <c r="R131" s="3">
        <v>-2</v>
      </c>
      <c r="S131" s="3">
        <v>6.4226190476190403</v>
      </c>
      <c r="T131" s="3">
        <v>-1.1160714285714199</v>
      </c>
      <c r="U131" s="3">
        <v>6.6041666666666599</v>
      </c>
      <c r="V131" s="3">
        <v>-3.1160714285714199</v>
      </c>
      <c r="W131" s="3">
        <v>11.9672619047619</v>
      </c>
      <c r="X131" s="3">
        <v>-0.26303216928104001</v>
      </c>
      <c r="Y131" s="3">
        <v>0.93520926178682795</v>
      </c>
      <c r="Z131" s="3">
        <v>0.86489870082209697</v>
      </c>
      <c r="AA131" s="3">
        <v>0.84734277283302195</v>
      </c>
      <c r="AB131" s="3">
        <v>0.36048498749732899</v>
      </c>
      <c r="AC131" s="3">
        <v>0.56816053390502896</v>
      </c>
      <c r="AD131" s="3">
        <v>0.42008209228515597</v>
      </c>
      <c r="AE131" s="3">
        <v>0.320982426404953</v>
      </c>
      <c r="AF131" s="3">
        <v>0.53783726692199696</v>
      </c>
      <c r="AG131" s="3">
        <v>0.36033535003662098</v>
      </c>
    </row>
  </sheetData>
  <sortState xmlns:xlrd2="http://schemas.microsoft.com/office/spreadsheetml/2017/richdata2" ref="G119:AG131">
    <sortCondition ref="G119:G13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Ruggiero, Diana</dc:creator>
  <cp:lastModifiedBy>Ruggiero, Diana</cp:lastModifiedBy>
  <dcterms:created xsi:type="dcterms:W3CDTF">2023-11-07T19:10:49Z</dcterms:created>
  <dcterms:modified xsi:type="dcterms:W3CDTF">2023-11-07T21:08:32Z</dcterms:modified>
</cp:coreProperties>
</file>